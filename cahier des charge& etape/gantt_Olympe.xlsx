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codeName="ThisWorkbook"/>
  <mc:AlternateContent xmlns:mc="http://schemas.openxmlformats.org/markup-compatibility/2006">
    <mc:Choice Requires="x15">
      <x15ac:absPath xmlns:x15ac="http://schemas.microsoft.com/office/spreadsheetml/2010/11/ac" url="D:\cours\L3\L3_s2\projet_de Programmation Mobile\Olympe\cahier des charge&amp; etape\"/>
    </mc:Choice>
  </mc:AlternateContent>
  <xr:revisionPtr revIDLastSave="0" documentId="13_ncr:1_{47B36D04-5B53-483E-BA32-90DC8213D619}" xr6:coauthVersionLast="47" xr6:coauthVersionMax="47" xr10:uidLastSave="{00000000-0000-0000-0000-000000000000}"/>
  <bookViews>
    <workbookView xWindow="-108" yWindow="-108" windowWidth="23256" windowHeight="12576" xr2:uid="{00000000-000D-0000-FFFF-FFFF00000000}"/>
  </bookViews>
  <sheets>
    <sheet name="GanttChart" sheetId="9" r:id="rId1"/>
    <sheet name="GanttChartPro" sheetId="12" r:id="rId2"/>
    <sheet name="Help" sheetId="6" r:id="rId3"/>
    <sheet name="TermsOfUse" sheetId="11" r:id="rId4"/>
  </sheets>
  <definedNames>
    <definedName name="_xlnm.Print_Titles" localSheetId="0">GanttChart!$4:$7</definedName>
    <definedName name="prevWBS" localSheetId="0">GanttChart!$A1048576</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_xlnm.Print_Area" localSheetId="0">GanttChart!$A$1:$BM$17</definedName>
    <definedName name="_xlnm.Print_Area" localSheetId="1">GanttChartPro!$A$1:$C$47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8" i="9" l="1"/>
  <c r="H8" i="9" s="1"/>
  <c r="E12" i="9" l="1"/>
  <c r="E9" i="9"/>
  <c r="J6" i="9"/>
  <c r="E15" i="9" l="1"/>
  <c r="H15" i="9" s="1"/>
  <c r="H12" i="9"/>
  <c r="E10" i="9"/>
  <c r="H10" i="9" s="1"/>
  <c r="H9" i="9"/>
  <c r="E16" i="9"/>
  <c r="H16" i="9" s="1"/>
  <c r="J7" i="9"/>
  <c r="J4" i="9"/>
  <c r="E13" i="9" l="1"/>
  <c r="H13" i="9" s="1"/>
  <c r="E14" i="9" l="1"/>
  <c r="H14" i="9" s="1"/>
  <c r="K6" i="9" l="1"/>
  <c r="L6" i="9" l="1"/>
  <c r="M6" i="9" l="1"/>
  <c r="N6" i="9" l="1"/>
  <c r="E17" i="9"/>
  <c r="H17" i="9" s="1"/>
  <c r="J5" i="9"/>
  <c r="E11" i="9" l="1"/>
  <c r="H11" i="9" s="1"/>
  <c r="O6" i="9"/>
  <c r="K7" i="9"/>
  <c r="P6" i="9" l="1"/>
  <c r="L7" i="9"/>
  <c r="Q6" i="9" l="1"/>
  <c r="M7" i="9"/>
  <c r="R6" i="9" l="1"/>
  <c r="N7" i="9"/>
  <c r="S6" i="9" l="1"/>
  <c r="O7" i="9"/>
  <c r="T6" i="9" l="1"/>
  <c r="P7" i="9"/>
  <c r="U6" i="9" l="1"/>
  <c r="Q7" i="9"/>
  <c r="Q5" i="9"/>
  <c r="Q4" i="9"/>
  <c r="V6" i="9" l="1"/>
  <c r="R7" i="9"/>
  <c r="W6" i="9" l="1"/>
  <c r="S7" i="9"/>
  <c r="X6" i="9" l="1"/>
  <c r="T7" i="9"/>
  <c r="Y6" i="9" l="1"/>
  <c r="U7" i="9"/>
  <c r="Z6" i="9" l="1"/>
  <c r="W7" i="9"/>
  <c r="V7" i="9"/>
  <c r="AA6" i="9" l="1"/>
  <c r="X5" i="9"/>
  <c r="X4" i="9"/>
  <c r="X7" i="9"/>
  <c r="AB6" i="9" l="1"/>
  <c r="Y7" i="9"/>
  <c r="AC6" i="9" l="1"/>
  <c r="Z7" i="9"/>
  <c r="AD6" i="9" l="1"/>
  <c r="AA7" i="9"/>
  <c r="AE6" i="9" l="1"/>
  <c r="AB7" i="9"/>
  <c r="AF6" i="9" l="1"/>
  <c r="AC7" i="9"/>
  <c r="AG6" i="9" l="1"/>
  <c r="AD7" i="9"/>
  <c r="AH6" i="9" l="1"/>
  <c r="AE4" i="9"/>
  <c r="AE7" i="9"/>
  <c r="AE5" i="9"/>
  <c r="AI6" i="9" l="1"/>
  <c r="AF7" i="9"/>
  <c r="AJ6" i="9" l="1"/>
  <c r="AG7" i="9"/>
  <c r="AK6" i="9" l="1"/>
  <c r="AH7" i="9"/>
  <c r="AL6" i="9" l="1"/>
  <c r="AI7" i="9"/>
  <c r="AM6" i="9" l="1"/>
  <c r="AJ7" i="9"/>
  <c r="AN6" i="9" l="1"/>
  <c r="AK7" i="9"/>
  <c r="AO6" i="9" l="1"/>
  <c r="AL7" i="9"/>
  <c r="AL5" i="9"/>
  <c r="AL4" i="9"/>
  <c r="AP6" i="9" l="1"/>
  <c r="AM7" i="9"/>
  <c r="AQ6" i="9" l="1"/>
  <c r="AN7" i="9"/>
  <c r="AR6" i="9" l="1"/>
  <c r="AO7" i="9"/>
  <c r="AS6" i="9" l="1"/>
  <c r="AP7" i="9"/>
  <c r="AT6" i="9" l="1"/>
  <c r="AQ7" i="9"/>
  <c r="AU6" i="9" l="1"/>
  <c r="AR7" i="9"/>
  <c r="AV6" i="9" l="1"/>
  <c r="AS7" i="9"/>
  <c r="AS5" i="9"/>
  <c r="AS4" i="9"/>
  <c r="AW6" i="9" l="1"/>
  <c r="AT7" i="9"/>
  <c r="AX6" i="9" l="1"/>
  <c r="AU7" i="9"/>
  <c r="AY6" i="9" l="1"/>
  <c r="AV7" i="9"/>
  <c r="AZ6" i="9" l="1"/>
  <c r="AW7" i="9"/>
  <c r="BA6" i="9" l="1"/>
  <c r="AX7" i="9"/>
  <c r="BB6" i="9" l="1"/>
  <c r="AY7" i="9"/>
  <c r="BC6" i="9" l="1"/>
  <c r="AZ5" i="9"/>
  <c r="AZ4" i="9"/>
  <c r="AZ7" i="9"/>
  <c r="BD6" i="9" l="1"/>
  <c r="BA7" i="9"/>
  <c r="BE6" i="9" l="1"/>
  <c r="BB7" i="9"/>
  <c r="BF6" i="9" l="1"/>
  <c r="BC7" i="9"/>
  <c r="BG6" i="9" l="1"/>
  <c r="BD7" i="9"/>
  <c r="BH6" i="9" l="1"/>
  <c r="BE7" i="9"/>
  <c r="BI6" i="9" l="1"/>
  <c r="BF7" i="9"/>
  <c r="BJ6" i="9" l="1"/>
  <c r="BG4" i="9"/>
  <c r="BG7" i="9"/>
  <c r="BG5" i="9"/>
  <c r="BK6" i="9" l="1"/>
  <c r="BH7" i="9"/>
  <c r="BL6" i="9" l="1"/>
  <c r="BI7" i="9"/>
  <c r="BM6" i="9" l="1"/>
  <c r="BJ7" i="9"/>
  <c r="BK7" i="9" l="1"/>
  <c r="BL7" i="9" l="1"/>
  <c r="BM7"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E7"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F7" authorId="0" shapeId="0" xr:uid="{00000000-0006-0000-0000-000007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G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H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Vertex42</author>
  </authors>
  <commentList>
    <comment ref="C16" authorId="0" shapeId="0" xr:uid="{00000000-0006-0000-0200-000001000000}">
      <text>
        <r>
          <rPr>
            <sz val="8"/>
            <color indexed="81"/>
            <rFont val="Tahoma"/>
            <family val="2"/>
          </rPr>
          <t>This is an example comment.</t>
        </r>
      </text>
    </comment>
  </commentList>
</comments>
</file>

<file path=xl/sharedStrings.xml><?xml version="1.0" encoding="utf-8"?>
<sst xmlns="http://schemas.openxmlformats.org/spreadsheetml/2006/main" count="160" uniqueCount="145">
  <si>
    <t>WBS</t>
  </si>
  <si>
    <t>Input Cell</t>
  </si>
  <si>
    <t>Label</t>
  </si>
  <si>
    <t>Getting Started Tips</t>
  </si>
  <si>
    <t>FAQs</t>
  </si>
  <si>
    <t>Q:</t>
  </si>
  <si>
    <t>Creating Task Dependencies</t>
  </si>
  <si>
    <t>Changing the Color of the Bars in the Gantt Chart</t>
  </si>
  <si>
    <t>Using the Template Rows and Choosing a WBS Level</t>
  </si>
  <si>
    <t>A.</t>
  </si>
  <si>
    <t>Enter the date manually (e.g. 1/3/2015)</t>
  </si>
  <si>
    <t>B.</t>
  </si>
  <si>
    <t>Reference the Project Start Date (e.g. =$E$4 )</t>
  </si>
  <si>
    <t>C.</t>
  </si>
  <si>
    <t>Set the Start date to the next Work Day after another task's End date.</t>
  </si>
  <si>
    <t>D.</t>
  </si>
  <si>
    <t>Set the Start date to the next Calendar Day after another task's End date.</t>
  </si>
  <si>
    <t>E.</t>
  </si>
  <si>
    <t>Set the Start date to a number of days before or after another date.</t>
  </si>
  <si>
    <t>Find a row that works, then copy the cells that make up the gantt chart area from that row into the row that is messed up.</t>
  </si>
  <si>
    <t>Gantt Chart Template Pro</t>
  </si>
  <si>
    <t>Learn More About Gantt Chart Template Pro</t>
  </si>
  <si>
    <t>Benefits and Features of Gantt Chart Template Pro</t>
  </si>
  <si>
    <t xml:space="preserve"> - Start date and End date</t>
  </si>
  <si>
    <t xml:space="preserve"> - Start date and Work days</t>
  </si>
  <si>
    <t xml:space="preserve"> - Start date and Calendar days</t>
  </si>
  <si>
    <t>Easily Create Task Dependencies</t>
  </si>
  <si>
    <t>Exclude Holidays from Work Days</t>
  </si>
  <si>
    <r>
      <t>Gantt Chart Template Pro</t>
    </r>
    <r>
      <rPr>
        <sz val="10"/>
        <rFont val="Arial"/>
        <family val="2"/>
      </rPr>
      <t xml:space="preserve"> is similar to this free version, but</t>
    </r>
  </si>
  <si>
    <t>it is more feature-packed. It also comes with other bonus content.</t>
  </si>
  <si>
    <t>Use Work Days as an Input</t>
  </si>
  <si>
    <t>Customize Your Work Week</t>
  </si>
  <si>
    <t>functions that allow you define the work week as something other than Monday-Friday.</t>
  </si>
  <si>
    <t>Simple Color-Coding</t>
  </si>
  <si>
    <t>By default, the Pro version is set up to have you enter Work Days instead of Calendar Days.</t>
  </si>
  <si>
    <t>The expanded set of template rows provides more options for defining the Start date, End date,</t>
  </si>
  <si>
    <t>and Duration of tasks. Define a task based on …</t>
  </si>
  <si>
    <t>List holidays and other specific non-working days that you want to exclude from work days.</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</si>
  <si>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</si>
  <si>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</si>
  <si>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</si>
  <si>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</si>
  <si>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</si>
  <si>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Gantt Chart Template Pro for Excel Online</t>
  </si>
  <si>
    <t>Pro version for Excel Online.</t>
  </si>
  <si>
    <t>The following link is a blog post that talks specifically about the</t>
  </si>
  <si>
    <t>https://www.vertex42.com/ExcelTemplates/excel-gantt-chart.html</t>
  </si>
  <si>
    <t>https://www.vertex42.com/licensing/EULA_privateuse.html</t>
  </si>
  <si>
    <t>Learn About Gantt Chart Template Pro</t>
  </si>
  <si>
    <t>Terms of Use</t>
  </si>
  <si>
    <t>Gantt Chart Template, by Vertex42.com</t>
  </si>
  <si>
    <t>© 2006-2018 Vertex42 LLC</t>
  </si>
  <si>
    <t>This spreadsheet template, including all worksheets and associated content is a copyrighted work under the United States and other copyright laws.</t>
  </si>
  <si>
    <r>
      <t xml:space="preserve">You may download the spreadsheet template, make archival copies, and customize the template only for your </t>
    </r>
    <r>
      <rPr>
        <b/>
        <sz val="12"/>
        <rFont val="Arial"/>
        <family val="2"/>
      </rPr>
      <t>personal use or use within your company or organization</t>
    </r>
    <r>
      <rPr>
        <sz val="12"/>
        <rFont val="Arial"/>
        <family val="2"/>
      </rPr>
      <t xml:space="preserve"> and </t>
    </r>
    <r>
      <rPr>
        <b/>
        <sz val="12"/>
        <rFont val="Arial"/>
        <family val="2"/>
      </rPr>
      <t>not</t>
    </r>
    <r>
      <rPr>
        <sz val="12"/>
        <rFont val="Arial"/>
        <family val="2"/>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</si>
  <si>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</si>
  <si>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</si>
  <si>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family val="2"/>
      </rPr>
      <t>Limited Private Sharing and Other Allowed Uses</t>
    </r>
    <r>
      <rPr>
        <sz val="12"/>
        <rFont val="Arial"/>
        <family val="2"/>
      </rPr>
      <t>: See the complete license agreement to learn more about how you may or may not use this template.</t>
    </r>
  </si>
  <si>
    <t>View the Complete License Agreement</t>
  </si>
  <si>
    <t>Watch Demo Videos of the Pro Version on Vertex42.com</t>
  </si>
  <si>
    <t>Please read the license agreement in the TermsOfUse worksheet to learn how you may or may not use and share this spreadsheet.</t>
  </si>
  <si>
    <t>TASK</t>
  </si>
  <si>
    <t>LEAD</t>
  </si>
  <si>
    <t>START</t>
  </si>
  <si>
    <t>END</t>
  </si>
  <si>
    <t>DAYS</t>
  </si>
  <si>
    <t>% DONE</t>
  </si>
  <si>
    <t>WORK DAYS</t>
  </si>
  <si>
    <t xml:space="preserve">Display Week </t>
  </si>
  <si>
    <t xml:space="preserve">Project Start Date </t>
  </si>
  <si>
    <t xml:space="preserve">Project Lead </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</si>
  <si>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</si>
  <si>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 Some of the labels include cell comments to provide extra information.</t>
  </si>
  <si>
    <t>• Define the task start date and duration (days) by editing the light green cells.</t>
  </si>
  <si>
    <t>• [Bracketed Text] is meant to be edited, like the project title and task descriptions.</t>
  </si>
  <si>
    <t>• If you see "#####" in a cell, widen the column to display the cell contents.</t>
  </si>
  <si>
    <t>• To adjust the range of dates shown in the Gantt chart, change the Display Week number.</t>
  </si>
  <si>
    <r>
      <t xml:space="preserve">• </t>
    </r>
    <r>
      <rPr>
        <b/>
        <sz val="11"/>
        <color rgb="FFFF0000"/>
        <rFont val="Arial"/>
        <family val="2"/>
      </rPr>
      <t>Backup</t>
    </r>
    <r>
      <rPr>
        <sz val="11"/>
        <color rgb="FFFF0000"/>
        <rFont val="Arial"/>
        <family val="2"/>
      </rPr>
      <t xml:space="preserve"> your file regularly to avoid losing data! Excel files get corrupted occasionally.</t>
    </r>
  </si>
  <si>
    <t>Inserting New Tasks (Rows)</t>
  </si>
  <si>
    <t>• Insert a new blank row by right-clicking on the row number and selecting Insert.</t>
  </si>
  <si>
    <t>• Copy a row from the set of template rows at the bottom of the worksheet.</t>
  </si>
  <si>
    <t>• With the new blank row selected, press Ctrl+d to copy the formulas and formatting down from the row above OR use the row drag handle to copy the formulas and formatting down.</t>
  </si>
  <si>
    <t>About This Template</t>
  </si>
  <si>
    <t>Be sure to read the Getting Started Tips below. Watching the video demos for Gantt Chart Template Pro may also help you see how to use the spreadsheet.</t>
  </si>
  <si>
    <t>• The Project Start Date is used to define the first week shown in the gantt chart.</t>
  </si>
  <si>
    <t>• Insert new tasks using one of the methods listed below.</t>
  </si>
  <si>
    <r>
      <t xml:space="preserve">When inserting and deleting tasks, you need to insert and delete </t>
    </r>
    <r>
      <rPr>
        <b/>
        <sz val="11"/>
        <rFont val="Arial"/>
        <family val="2"/>
      </rPr>
      <t>entire rows</t>
    </r>
    <r>
      <rPr>
        <sz val="11"/>
        <rFont val="Arial"/>
        <family val="2"/>
      </rPr>
      <t>. Some columns contain formulas (such as the End Date and the Work Days columns), so these formulas need to copied to the newly inserted rows.</t>
    </r>
  </si>
  <si>
    <t>METHOD 2</t>
  </si>
  <si>
    <t>• Right-click on the row where you want to insert the new task and select Insert Copied Cells.</t>
  </si>
  <si>
    <t>Help improve Excel by voting on a suggestion to fix this problem.</t>
  </si>
  <si>
    <t>METHOD 1 (recommended)</t>
  </si>
  <si>
    <t>You can either copy/paste/insert these template rows via Method 2 as explained above, OR you can just copy/paste the desired WBS cell when you want to change the WBS level.</t>
  </si>
  <si>
    <t>The set of template rows at the bottom of the Gantt Chart worksheet provide examples of different ways to format and define tasks for different WBS levels.</t>
  </si>
  <si>
    <t>Each different WBS level uses a different formula in the WBS column.</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</si>
  <si>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</si>
  <si>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</si>
  <si>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r>
      <t>• Use the formula =WORKDAY(</t>
    </r>
    <r>
      <rPr>
        <i/>
        <sz val="11"/>
        <rFont val="Arial"/>
        <family val="2"/>
      </rPr>
      <t>enddate</t>
    </r>
    <r>
      <rPr>
        <sz val="11"/>
        <rFont val="Arial"/>
        <family val="2"/>
      </rPr>
      <t xml:space="preserve">,1) where </t>
    </r>
    <r>
      <rPr>
        <i/>
        <sz val="11"/>
        <rFont val="Arial"/>
        <family val="2"/>
      </rPr>
      <t>enddate</t>
    </r>
    <r>
      <rPr>
        <sz val="11"/>
        <rFont val="Arial"/>
        <family val="2"/>
      </rPr>
      <t xml:space="preserve"> is the reference to the End date of a predecessor task.</t>
    </r>
  </si>
  <si>
    <r>
      <t>• For multiple predecessors, the formula would be =MAX(WORKDAY(</t>
    </r>
    <r>
      <rPr>
        <i/>
        <sz val="11"/>
        <rFont val="Arial"/>
        <family val="2"/>
      </rPr>
      <t>enddate1</t>
    </r>
    <r>
      <rPr>
        <sz val="11"/>
        <rFont val="Arial"/>
        <family val="2"/>
      </rPr>
      <t>,1),WORKDAY(</t>
    </r>
    <r>
      <rPr>
        <i/>
        <sz val="11"/>
        <rFont val="Arial"/>
        <family val="2"/>
      </rPr>
      <t>enddate2</t>
    </r>
    <r>
      <rPr>
        <sz val="11"/>
        <rFont val="Arial"/>
        <family val="2"/>
      </rPr>
      <t>,1))</t>
    </r>
  </si>
  <si>
    <r>
      <t>• This formula is very simple: =</t>
    </r>
    <r>
      <rPr>
        <i/>
        <sz val="11"/>
        <rFont val="Arial"/>
        <family val="2"/>
      </rPr>
      <t>enddate</t>
    </r>
    <r>
      <rPr>
        <sz val="11"/>
        <rFont val="Arial"/>
        <family val="2"/>
      </rPr>
      <t>+1</t>
    </r>
  </si>
  <si>
    <r>
      <t>• For multiple predecessors, the formula would be =MAX(</t>
    </r>
    <r>
      <rPr>
        <i/>
        <sz val="11"/>
        <rFont val="Arial"/>
        <family val="2"/>
      </rPr>
      <t>enddate1</t>
    </r>
    <r>
      <rPr>
        <sz val="11"/>
        <rFont val="Arial"/>
        <family val="2"/>
      </rPr>
      <t>,</t>
    </r>
    <r>
      <rPr>
        <i/>
        <sz val="11"/>
        <rFont val="Arial"/>
        <family val="2"/>
      </rPr>
      <t>enddate2</t>
    </r>
    <r>
      <rPr>
        <sz val="11"/>
        <rFont val="Arial"/>
        <family val="2"/>
      </rPr>
      <t>,</t>
    </r>
    <r>
      <rPr>
        <i/>
        <sz val="11"/>
        <rFont val="Arial"/>
        <family val="2"/>
      </rPr>
      <t>enddate3</t>
    </r>
    <r>
      <rPr>
        <sz val="11"/>
        <rFont val="Arial"/>
        <family val="2"/>
      </rPr>
      <t>)+1</t>
    </r>
  </si>
  <si>
    <r>
      <t>• This formula is just like the one in C or D, except that in place of the "1" you enter the number of days, such as =WORKDAY(</t>
    </r>
    <r>
      <rPr>
        <i/>
        <sz val="11"/>
        <rFont val="Arial"/>
        <family val="2"/>
      </rPr>
      <t>enddate</t>
    </r>
    <r>
      <rPr>
        <sz val="11"/>
        <rFont val="Arial"/>
        <family val="2"/>
      </rPr>
      <t>,5) or =WORKDAY(</t>
    </r>
    <r>
      <rPr>
        <i/>
        <sz val="11"/>
        <rFont val="Arial"/>
        <family val="2"/>
      </rPr>
      <t>startdate</t>
    </r>
    <r>
      <rPr>
        <sz val="11"/>
        <rFont val="Arial"/>
        <family val="2"/>
      </rPr>
      <t>,-5)</t>
    </r>
  </si>
  <si>
    <t>F.</t>
  </si>
  <si>
    <t>Use a lookup formula and the Predecessor column to define the start date.</t>
  </si>
  <si>
    <t>[The formulas for using this method are built into Gantt Chart Template Pro]</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</si>
  <si>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</si>
  <si>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r>
      <t xml:space="preserve">How do I enter the </t>
    </r>
    <r>
      <rPr>
        <b/>
        <sz val="11"/>
        <color theme="4" tint="-0.249977111117893"/>
        <rFont val="Arial"/>
        <family val="2"/>
      </rPr>
      <t>Work Days</t>
    </r>
    <r>
      <rPr>
        <sz val="11"/>
        <color theme="4" tint="-0.249977111117893"/>
        <rFont val="Arial"/>
        <family val="2"/>
      </rPr>
      <t xml:space="preserve"> instead of </t>
    </r>
    <r>
      <rPr>
        <b/>
        <sz val="11"/>
        <color theme="4" tint="-0.249977111117893"/>
        <rFont val="Arial"/>
        <family val="2"/>
      </rPr>
      <t>Calendar Days</t>
    </r>
    <r>
      <rPr>
        <sz val="11"/>
        <color theme="4" tint="-0.249977111117893"/>
        <rFont val="Arial"/>
        <family val="2"/>
      </rPr>
      <t>?</t>
    </r>
  </si>
  <si>
    <t>The %Complete for a group of tasks can be calculated from its sub tasks using the formula below, where "workdays" is a reference to the range of work day values and "complete" is a reference to the %complete for each of the subtasks.</t>
  </si>
  <si>
    <t>Entering work days instead of calendar days is a feature of the Pro version. There is nothing in the free version preventing you from entering your own formulas, though.</t>
  </si>
  <si>
    <r>
      <t>=SUMPRODUCT(</t>
    </r>
    <r>
      <rPr>
        <i/>
        <sz val="11"/>
        <rFont val="Arial"/>
        <family val="2"/>
      </rPr>
      <t>workdays</t>
    </r>
    <r>
      <rPr>
        <sz val="11"/>
        <rFont val="Arial"/>
        <family val="2"/>
      </rPr>
      <t>,</t>
    </r>
    <r>
      <rPr>
        <i/>
        <sz val="11"/>
        <rFont val="Arial"/>
        <family val="2"/>
      </rPr>
      <t>complete</t>
    </r>
    <r>
      <rPr>
        <sz val="11"/>
        <rFont val="Arial"/>
        <family val="2"/>
      </rPr>
      <t>)/SUM(</t>
    </r>
    <r>
      <rPr>
        <i/>
        <sz val="11"/>
        <rFont val="Arial"/>
        <family val="2"/>
      </rPr>
      <t>workdays</t>
    </r>
    <r>
      <rPr>
        <sz val="11"/>
        <rFont val="Arial"/>
        <family val="2"/>
      </rPr>
      <t>)</t>
    </r>
  </si>
  <si>
    <t>Example: Let's say you have 3 sub tasks that are 10 days, 12 days, and 14 days long, respectively. If the first subtask is 50% complete and the others are 25% complete, you could calculate the overall percent complete for the group as: =(10*50%+12*25%+14*25%)/(10+12+14).</t>
  </si>
  <si>
    <r>
      <t xml:space="preserve">How do I change the </t>
    </r>
    <r>
      <rPr>
        <b/>
        <sz val="11"/>
        <color theme="4" tint="-0.249977111117893"/>
        <rFont val="Arial"/>
        <family val="2"/>
      </rPr>
      <t>Print Settings</t>
    </r>
    <r>
      <rPr>
        <sz val="11"/>
        <color theme="4" tint="-0.249977111117893"/>
        <rFont val="Arial"/>
        <family val="2"/>
      </rPr>
      <t>? (Excel 2010, 2013)</t>
    </r>
  </si>
  <si>
    <t>You will need to add columns to the right of the Gantt Chart via copy/paste. Copy and paste the columns in groups of 7. Afterwards, you will also probably need to update the print area.</t>
  </si>
  <si>
    <r>
      <t>In the Start column, use the formula =MIN(</t>
    </r>
    <r>
      <rPr>
        <i/>
        <sz val="11"/>
        <color rgb="FF000000"/>
        <rFont val="Arial"/>
        <family val="2"/>
      </rPr>
      <t>range_of_start_dates</t>
    </r>
    <r>
      <rPr>
        <sz val="11"/>
        <color rgb="FF000000"/>
        <rFont val="Arial"/>
        <family val="2"/>
      </rPr>
      <t>)</t>
    </r>
  </si>
  <si>
    <r>
      <t>In the End column, use the formula =MAX(</t>
    </r>
    <r>
      <rPr>
        <i/>
        <sz val="11"/>
        <color rgb="FF000000"/>
        <rFont val="Arial"/>
        <family val="2"/>
      </rPr>
      <t>range_of_end_dates</t>
    </r>
    <r>
      <rPr>
        <sz val="11"/>
        <color rgb="FF000000"/>
        <rFont val="Arial"/>
        <family val="2"/>
      </rPr>
      <t>)</t>
    </r>
  </si>
  <si>
    <r>
      <t>In the Days column, use the formula =</t>
    </r>
    <r>
      <rPr>
        <i/>
        <sz val="11"/>
        <color rgb="FF000000"/>
        <rFont val="Arial"/>
        <family val="2"/>
      </rPr>
      <t>end_date</t>
    </r>
    <r>
      <rPr>
        <sz val="11"/>
        <color rgb="FF000000"/>
        <rFont val="Arial"/>
        <family val="2"/>
      </rPr>
      <t>-</t>
    </r>
    <r>
      <rPr>
        <i/>
        <sz val="11"/>
        <color rgb="FF000000"/>
        <rFont val="Arial"/>
        <family val="2"/>
      </rPr>
      <t>start_date</t>
    </r>
    <r>
      <rPr>
        <sz val="11"/>
        <color rgb="FF000000"/>
        <rFont val="Arial"/>
        <family val="2"/>
      </rPr>
      <t>+1</t>
    </r>
  </si>
  <si>
    <t>Help</t>
  </si>
  <si>
    <r>
      <t xml:space="preserve">How do I increase the </t>
    </r>
    <r>
      <rPr>
        <b/>
        <sz val="11"/>
        <color theme="4" tint="-0.249977111117893"/>
        <rFont val="Arial"/>
        <family val="2"/>
      </rPr>
      <t>range of dates</t>
    </r>
    <r>
      <rPr>
        <sz val="11"/>
        <color theme="4" tint="-0.249977111117893"/>
        <rFont val="Arial"/>
        <family val="2"/>
      </rPr>
      <t xml:space="preserve"> displayed in the Gantt chart?</t>
    </r>
  </si>
  <si>
    <r>
      <t xml:space="preserve">How do I create a summary row that shows the </t>
    </r>
    <r>
      <rPr>
        <b/>
        <sz val="11"/>
        <color theme="4" tint="-0.249977111117893"/>
        <rFont val="Arial"/>
        <family val="2"/>
      </rPr>
      <t>MIN</t>
    </r>
    <r>
      <rPr>
        <sz val="11"/>
        <color theme="4" tint="-0.249977111117893"/>
        <rFont val="Arial"/>
        <family val="2"/>
      </rPr>
      <t xml:space="preserve"> and </t>
    </r>
    <r>
      <rPr>
        <b/>
        <sz val="11"/>
        <color theme="4" tint="-0.249977111117893"/>
        <rFont val="Arial"/>
        <family val="2"/>
      </rPr>
      <t>MAX</t>
    </r>
    <r>
      <rPr>
        <sz val="11"/>
        <color theme="4" tint="-0.249977111117893"/>
        <rFont val="Arial"/>
        <family val="2"/>
      </rPr>
      <t xml:space="preserve"> dates for all sub-tasks?</t>
    </r>
  </si>
  <si>
    <r>
      <t xml:space="preserve">How do I calculate the </t>
    </r>
    <r>
      <rPr>
        <b/>
        <sz val="11"/>
        <color theme="4" tint="-0.249977111117893"/>
        <rFont val="Arial"/>
        <family val="2"/>
      </rPr>
      <t>%Complete</t>
    </r>
    <r>
      <rPr>
        <sz val="11"/>
        <color theme="4" tint="-0.249977111117893"/>
        <rFont val="Arial"/>
        <family val="2"/>
      </rPr>
      <t xml:space="preserve"> for an entire category of tasks?</t>
    </r>
  </si>
  <si>
    <r>
      <t xml:space="preserve">I've </t>
    </r>
    <r>
      <rPr>
        <b/>
        <sz val="11"/>
        <color theme="4" tint="-0.249977111117893"/>
        <rFont val="Arial"/>
        <family val="2"/>
      </rPr>
      <t>messed up</t>
    </r>
    <r>
      <rPr>
        <sz val="11"/>
        <color theme="4" tint="-0.249977111117893"/>
        <rFont val="Arial"/>
        <family val="2"/>
      </rPr>
      <t xml:space="preserve"> the chart area somehow. How do I fix it?</t>
    </r>
  </si>
  <si>
    <t>Though you can still use your own formulas for creating task dependencies, the Pro version</t>
  </si>
  <si>
    <t>includes template rows that calculate the Start date based on the WBS number that you enter</t>
  </si>
  <si>
    <t>in the Predecessor column.</t>
  </si>
  <si>
    <t>The versions designed for Excel 2010+ use the WORKDAY.INTL() and NETWORKDAYS.INTL()</t>
  </si>
  <si>
    <r>
      <t xml:space="preserve">How do I calculate Calendar Days after entering the </t>
    </r>
    <r>
      <rPr>
        <b/>
        <sz val="11"/>
        <color theme="4" tint="-0.249977111117893"/>
        <rFont val="Arial"/>
        <family val="2"/>
      </rPr>
      <t>Start and End Dates</t>
    </r>
    <r>
      <rPr>
        <sz val="11"/>
        <color theme="4" tint="-0.249977111117893"/>
        <rFont val="Arial"/>
        <family val="2"/>
      </rPr>
      <t>?</t>
    </r>
  </si>
  <si>
    <t>Method 2 will work, but Excel will split/fracture/duplicate conditional formatting rules rather than merging the rules. This can cause inefficiencies in very large and heavily modified files.</t>
  </si>
  <si>
    <t>You can enter the Start date manually, or define task dependencies using a formula. Below are some common options for defining the Start date:</t>
  </si>
  <si>
    <t>Select the entire range of cells you want to print and go to File &gt; Print Area &gt; Set Print Area. Then go to File &gt; Page Setup or File &gt; Print Preview and adjust the Scaling, Margins, and Page Orientation as desired.</t>
  </si>
  <si>
    <r>
      <t>You can calculate the duration in calendar days (including both start and end dates) using the formula =</t>
    </r>
    <r>
      <rPr>
        <i/>
        <sz val="11"/>
        <rFont val="Arial"/>
        <family val="2"/>
      </rPr>
      <t>enddate</t>
    </r>
    <r>
      <rPr>
        <sz val="11"/>
        <rFont val="Arial"/>
        <family val="2"/>
      </rPr>
      <t>-</t>
    </r>
    <r>
      <rPr>
        <i/>
        <sz val="11"/>
        <rFont val="Arial"/>
        <family val="2"/>
      </rPr>
      <t>startdate</t>
    </r>
    <r>
      <rPr>
        <sz val="11"/>
        <rFont val="Arial"/>
        <family val="2"/>
      </rPr>
      <t>+1</t>
    </r>
  </si>
  <si>
    <t>Programmation Mobile</t>
  </si>
  <si>
    <t>Marc</t>
  </si>
  <si>
    <t>Wassim</t>
  </si>
  <si>
    <t>Architecture de l'application</t>
  </si>
  <si>
    <t>Accueil &amp; page santé( Back &amp; processus )</t>
  </si>
  <si>
    <t>Accueil &amp; page santé (Front &amp; fragment)</t>
  </si>
  <si>
    <t>Base de données locale &amp; FRONT suivi de perfomance</t>
  </si>
  <si>
    <t>FRONT des pages : Exercices, ajout de performance et liste d'aliments; &amp; chronomètre</t>
  </si>
  <si>
    <t>Connecter la base de données avec toutes les pages</t>
  </si>
  <si>
    <t>Page profil &amp; paramètre (Back &amp; Front)</t>
  </si>
  <si>
    <t>mise en ligne de la base de donées.</t>
  </si>
  <si>
    <t>Rendu du projet</t>
  </si>
  <si>
    <t>Test &amp; Correction, écriture du rapport</t>
  </si>
  <si>
    <t>1.5</t>
  </si>
  <si>
    <t>Wassim &amp; Marc</t>
  </si>
  <si>
    <t>Marc &amp; Wassim</t>
  </si>
  <si>
    <t>Olympe Gantt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</si>
</sst>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65" x14ac:knownFonts="1">
    <font>
      <sz val="10"/>
      <name val="Arial"/>
    </font>
    <font>
      <sz val="10"/>
      <name val="Arial"/>
      <family val="2"/>
    </font>
    <font>
      <u/>
      <sz val="10"/>
      <color indexed="12"/>
      <name val="Arial"/>
      <family val="2"/>
    </font>
    <font>
      <sz val="8"/>
      <name val="Arial"/>
      <family val="2"/>
    </font>
    <font>
      <b/>
      <sz val="12"/>
      <name val="Arial"/>
      <family val="2"/>
    </font>
    <font>
      <sz val="10"/>
      <name val="Arial"/>
      <family val="2"/>
    </font>
    <font>
      <b/>
      <sz val="10"/>
      <name val="Arial"/>
      <family val="2"/>
    </font>
    <font>
      <sz val="8"/>
      <color indexed="81"/>
      <name val="Tahoma"/>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2"/>
      <name val="Arial"/>
      <family val="2"/>
    </font>
    <font>
      <u/>
      <sz val="12"/>
      <color indexed="12"/>
      <name val="Arial"/>
      <family val="2"/>
    </font>
    <font>
      <sz val="18"/>
      <color theme="3"/>
      <name val="Arial"/>
      <family val="2"/>
    </font>
    <font>
      <sz val="18"/>
      <color theme="4" tint="-0.249977111117893"/>
      <name val="Arial"/>
      <family val="2"/>
    </font>
    <font>
      <b/>
      <sz val="12"/>
      <color theme="4" tint="-0.249977111117893"/>
      <name val="Arial"/>
      <family val="2"/>
    </font>
    <font>
      <u/>
      <sz val="14"/>
      <color indexed="12"/>
      <name val="Arial"/>
      <family val="2"/>
    </font>
    <font>
      <i/>
      <sz val="8"/>
      <name val="Arial"/>
      <family val="2"/>
    </font>
    <font>
      <b/>
      <sz val="11"/>
      <name val="Arial"/>
      <family val="2"/>
    </font>
    <font>
      <u/>
      <sz val="11"/>
      <color indexed="12"/>
      <name val="Arial"/>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sz val="16"/>
      <color theme="4" tint="-0.249977111117893"/>
      <name val="Arial"/>
      <family val="1"/>
      <scheme val="major"/>
    </font>
    <font>
      <i/>
      <sz val="8"/>
      <color theme="1" tint="0.34998626667073579"/>
      <name val="Arial"/>
      <family val="2"/>
    </font>
    <font>
      <sz val="14"/>
      <color theme="4" tint="-0.249977111117893"/>
      <name val="Arial"/>
      <family val="2"/>
    </font>
    <font>
      <sz val="11"/>
      <name val="Arial"/>
      <family val="2"/>
    </font>
    <font>
      <sz val="14"/>
      <name val="Arial"/>
      <family val="2"/>
    </font>
    <font>
      <sz val="11"/>
      <color rgb="FFFF0000"/>
      <name val="Arial"/>
      <family val="2"/>
    </font>
    <font>
      <b/>
      <sz val="11"/>
      <color rgb="FFFF0000"/>
      <name val="Arial"/>
      <family val="2"/>
    </font>
    <font>
      <sz val="11"/>
      <color rgb="FF000000"/>
      <name val="Arial"/>
      <family val="2"/>
    </font>
    <font>
      <i/>
      <sz val="11"/>
      <name val="Arial"/>
      <family val="2"/>
    </font>
    <font>
      <b/>
      <sz val="11"/>
      <color theme="4" tint="-0.249977111117893"/>
      <name val="Arial"/>
      <family val="2"/>
    </font>
    <font>
      <sz val="11"/>
      <color theme="4" tint="-0.249977111117893"/>
      <name val="Arial"/>
      <family val="2"/>
    </font>
    <font>
      <i/>
      <sz val="11"/>
      <color rgb="FF000000"/>
      <name val="Arial"/>
      <family val="2"/>
    </font>
    <font>
      <b/>
      <sz val="9"/>
      <name val="Arial"/>
      <family val="2"/>
      <scheme val="minor"/>
    </font>
  </fonts>
  <fills count="25">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indexed="22"/>
        <bgColor indexed="64"/>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s>
  <borders count="2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top/>
      <bottom style="thin">
        <color indexed="22"/>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s>
  <cellStyleXfs count="44">
    <xf numFmtId="0" fontId="0" fillId="0" borderId="0"/>
    <xf numFmtId="0" fontId="11" fillId="2" borderId="0" applyNumberFormat="0" applyBorder="0" applyAlignment="0" applyProtection="0"/>
    <xf numFmtId="0" fontId="11" fillId="3" borderId="0" applyNumberFormat="0" applyBorder="0" applyAlignment="0" applyProtection="0"/>
    <xf numFmtId="0" fontId="11" fillId="3" borderId="0" applyNumberFormat="0" applyBorder="0" applyAlignment="0" applyProtection="0"/>
    <xf numFmtId="0" fontId="11" fillId="2"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6"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8"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0" borderId="0" applyNumberFormat="0" applyBorder="0" applyAlignment="0" applyProtection="0"/>
    <xf numFmtId="0" fontId="12" fillId="12" borderId="0" applyNumberFormat="0" applyBorder="0" applyAlignment="0" applyProtection="0"/>
    <xf numFmtId="0" fontId="12" fillId="9"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3" fillId="16" borderId="0" applyNumberFormat="0" applyBorder="0" applyAlignment="0" applyProtection="0"/>
    <xf numFmtId="0" fontId="14" fillId="17" borderId="1" applyNumberFormat="0" applyAlignment="0" applyProtection="0"/>
    <xf numFmtId="0" fontId="15" fillId="18" borderId="2" applyNumberFormat="0" applyAlignment="0" applyProtection="0"/>
    <xf numFmtId="0" fontId="16" fillId="0" borderId="0" applyNumberFormat="0" applyFill="0" applyBorder="0" applyAlignment="0" applyProtection="0"/>
    <xf numFmtId="0" fontId="17" fillId="19" borderId="0" applyNumberFormat="0" applyBorder="0" applyAlignment="0" applyProtection="0"/>
    <xf numFmtId="0" fontId="18" fillId="0" borderId="3" applyNumberFormat="0" applyFill="0" applyAlignment="0" applyProtection="0"/>
    <xf numFmtId="0" fontId="19" fillId="0" borderId="4" applyNumberFormat="0" applyFill="0" applyAlignment="0" applyProtection="0"/>
    <xf numFmtId="0" fontId="20" fillId="0" borderId="5" applyNumberFormat="0" applyFill="0" applyAlignment="0" applyProtection="0"/>
    <xf numFmtId="0" fontId="20" fillId="0" borderId="0" applyNumberFormat="0" applyFill="0" applyBorder="0" applyAlignment="0" applyProtection="0"/>
    <xf numFmtId="0" fontId="2" fillId="0" borderId="0" applyNumberFormat="0" applyFill="0" applyBorder="0" applyAlignment="0" applyProtection="0">
      <alignment vertical="top"/>
      <protection locked="0"/>
    </xf>
    <xf numFmtId="0" fontId="21" fillId="11" borderId="1" applyNumberFormat="0" applyAlignment="0" applyProtection="0"/>
    <xf numFmtId="0" fontId="22" fillId="0" borderId="6" applyNumberFormat="0" applyFill="0" applyAlignment="0" applyProtection="0"/>
    <xf numFmtId="0" fontId="23" fillId="5" borderId="0" applyNumberFormat="0" applyBorder="0" applyAlignment="0" applyProtection="0"/>
    <xf numFmtId="0" fontId="5" fillId="5" borderId="7" applyNumberFormat="0" applyFont="0" applyAlignment="0" applyProtection="0"/>
    <xf numFmtId="0" fontId="24" fillId="17" borderId="8" applyNumberFormat="0" applyAlignment="0" applyProtection="0"/>
    <xf numFmtId="9" fontId="1" fillId="0" borderId="0" applyFont="0" applyFill="0" applyBorder="0" applyAlignment="0" applyProtection="0"/>
    <xf numFmtId="0" fontId="25" fillId="0" borderId="0" applyNumberFormat="0" applyFill="0" applyBorder="0" applyAlignment="0" applyProtection="0"/>
    <xf numFmtId="0" fontId="26" fillId="0" borderId="9" applyNumberFormat="0" applyFill="0" applyAlignment="0" applyProtection="0"/>
    <xf numFmtId="0" fontId="27" fillId="0" borderId="0" applyNumberFormat="0" applyFill="0" applyBorder="0" applyAlignment="0" applyProtection="0"/>
  </cellStyleXfs>
  <cellXfs count="103">
    <xf numFmtId="0" fontId="0" fillId="0" borderId="0" xfId="0"/>
    <xf numFmtId="0" fontId="0" fillId="20" borderId="0" xfId="0" applyFill="1"/>
    <xf numFmtId="0" fontId="1" fillId="0" borderId="0" xfId="0" applyFont="1"/>
    <xf numFmtId="0" fontId="3" fillId="0" borderId="0" xfId="0" applyFont="1" applyAlignment="1">
      <alignment horizontal="right"/>
    </xf>
    <xf numFmtId="0" fontId="6" fillId="0" borderId="0" xfId="0" applyFont="1"/>
    <xf numFmtId="0" fontId="1" fillId="0" borderId="0" xfId="0" applyFont="1" applyAlignment="1">
      <alignment horizontal="left" wrapText="1" indent="1"/>
    </xf>
    <xf numFmtId="0" fontId="1" fillId="0" borderId="13" xfId="0" applyFont="1" applyBorder="1"/>
    <xf numFmtId="0" fontId="0" fillId="0" borderId="13" xfId="0" applyBorder="1"/>
    <xf numFmtId="0" fontId="28" fillId="0" borderId="13" xfId="0" applyFont="1" applyBorder="1" applyAlignment="1">
      <alignment horizontal="left" wrapText="1"/>
    </xf>
    <xf numFmtId="0" fontId="4" fillId="0" borderId="13" xfId="0" applyFont="1" applyBorder="1" applyAlignment="1">
      <alignment horizontal="left" wrapText="1"/>
    </xf>
    <xf numFmtId="0" fontId="28" fillId="0" borderId="13" xfId="0" applyFont="1" applyBorder="1" applyAlignment="1">
      <alignment horizontal="left"/>
    </xf>
    <xf numFmtId="0" fontId="3" fillId="0" borderId="0" xfId="0" applyFont="1" applyAlignment="1">
      <alignment wrapText="1"/>
    </xf>
    <xf numFmtId="0" fontId="9" fillId="0" borderId="0" xfId="0" applyFont="1" applyProtection="1">
      <protection locked="0"/>
    </xf>
    <xf numFmtId="0" fontId="33" fillId="0" borderId="0" xfId="34" applyFont="1" applyAlignment="1" applyProtection="1"/>
    <xf numFmtId="0" fontId="34" fillId="0" borderId="0" xfId="0" applyFont="1"/>
    <xf numFmtId="0" fontId="35" fillId="0" borderId="0" xfId="0" applyFont="1"/>
    <xf numFmtId="0" fontId="32" fillId="0" borderId="0" xfId="0" applyFont="1"/>
    <xf numFmtId="0" fontId="3" fillId="0" borderId="0" xfId="0" applyFont="1" applyAlignment="1">
      <alignment horizontal="left" vertical="center"/>
    </xf>
    <xf numFmtId="0" fontId="2" fillId="0" borderId="0" xfId="34" applyAlignment="1" applyProtection="1">
      <alignment horizontal="left"/>
    </xf>
    <xf numFmtId="0" fontId="31" fillId="0" borderId="0" xfId="0" applyFont="1" applyAlignment="1">
      <alignment vertical="center"/>
    </xf>
    <xf numFmtId="0" fontId="28" fillId="0" borderId="14" xfId="0" applyFont="1" applyBorder="1" applyAlignment="1">
      <alignment horizontal="left" wrapText="1"/>
    </xf>
    <xf numFmtId="0" fontId="29" fillId="0" borderId="13" xfId="34" applyFont="1" applyBorder="1" applyAlignment="1" applyProtection="1">
      <alignment horizontal="left" wrapText="1"/>
    </xf>
    <xf numFmtId="0" fontId="36" fillId="0" borderId="14" xfId="34" applyFont="1" applyBorder="1" applyAlignment="1" applyProtection="1">
      <alignment wrapText="1"/>
    </xf>
    <xf numFmtId="0" fontId="31" fillId="0" borderId="0" xfId="0" applyFont="1" applyAlignment="1">
      <alignment horizontal="left" vertical="center"/>
    </xf>
    <xf numFmtId="0" fontId="30" fillId="0" borderId="0" xfId="0" applyFont="1" applyAlignment="1">
      <alignment horizontal="left" vertical="center"/>
    </xf>
    <xf numFmtId="0" fontId="1" fillId="0" borderId="14" xfId="0" applyFont="1" applyBorder="1"/>
    <xf numFmtId="0" fontId="0" fillId="0" borderId="14" xfId="0" applyBorder="1"/>
    <xf numFmtId="0" fontId="28" fillId="0" borderId="0" xfId="0" applyFont="1" applyAlignment="1">
      <alignment horizontal="left" wrapText="1"/>
    </xf>
    <xf numFmtId="0" fontId="8" fillId="0" borderId="0" xfId="0" applyFont="1" applyAlignment="1" applyProtection="1">
      <alignment vertical="center"/>
      <protection locked="0"/>
    </xf>
    <xf numFmtId="0" fontId="42" fillId="0" borderId="0" xfId="0" applyFont="1"/>
    <xf numFmtId="0" fontId="43" fillId="0" borderId="0" xfId="0" applyFont="1" applyAlignment="1" applyProtection="1">
      <alignment vertical="center"/>
      <protection locked="0"/>
    </xf>
    <xf numFmtId="0" fontId="41" fillId="22" borderId="10" xfId="0" applyFont="1" applyFill="1" applyBorder="1" applyAlignment="1">
      <alignment vertical="center"/>
    </xf>
    <xf numFmtId="0" fontId="41" fillId="0" borderId="10" xfId="0" applyFont="1" applyBorder="1" applyAlignment="1">
      <alignment horizontal="left" vertical="center"/>
    </xf>
    <xf numFmtId="0" fontId="41" fillId="0" borderId="10" xfId="0" applyFont="1" applyBorder="1" applyAlignment="1">
      <alignment vertical="center"/>
    </xf>
    <xf numFmtId="1" fontId="46" fillId="24" borderId="11" xfId="0" applyNumberFormat="1" applyFont="1" applyFill="1" applyBorder="1" applyAlignment="1">
      <alignment horizontal="center" vertical="center"/>
    </xf>
    <xf numFmtId="9" fontId="46" fillId="24" borderId="11" xfId="40" applyFont="1" applyFill="1" applyBorder="1" applyAlignment="1" applyProtection="1">
      <alignment horizontal="center" vertical="center"/>
    </xf>
    <xf numFmtId="1" fontId="46" fillId="0" borderId="11" xfId="0" applyNumberFormat="1" applyFont="1" applyBorder="1" applyAlignment="1">
      <alignment horizontal="center" vertical="center"/>
    </xf>
    <xf numFmtId="166" fontId="3" fillId="0" borderId="12" xfId="0" applyNumberFormat="1" applyFont="1" applyBorder="1" applyAlignment="1">
      <alignment horizontal="center" vertical="center" shrinkToFit="1"/>
    </xf>
    <xf numFmtId="0" fontId="45" fillId="22" borderId="15" xfId="0" applyFont="1" applyFill="1" applyBorder="1" applyAlignment="1">
      <alignment horizontal="left" vertical="center"/>
    </xf>
    <xf numFmtId="0" fontId="45" fillId="22" borderId="15" xfId="0" applyFont="1" applyFill="1" applyBorder="1" applyAlignment="1">
      <alignment vertical="center"/>
    </xf>
    <xf numFmtId="0" fontId="41" fillId="22" borderId="15" xfId="0" applyFont="1" applyFill="1" applyBorder="1" applyAlignment="1">
      <alignment vertical="center"/>
    </xf>
    <xf numFmtId="165" fontId="41" fillId="22" borderId="15" xfId="0" applyNumberFormat="1" applyFont="1" applyFill="1" applyBorder="1" applyAlignment="1">
      <alignment horizontal="right" vertical="center"/>
    </xf>
    <xf numFmtId="1" fontId="41" fillId="22" borderId="15" xfId="40" applyNumberFormat="1" applyFont="1" applyFill="1" applyBorder="1" applyAlignment="1" applyProtection="1">
      <alignment horizontal="center" vertical="center"/>
    </xf>
    <xf numFmtId="9" fontId="41" fillId="22" borderId="15" xfId="40" applyFont="1" applyFill="1" applyBorder="1" applyAlignment="1" applyProtection="1">
      <alignment horizontal="center" vertical="center"/>
    </xf>
    <xf numFmtId="1" fontId="41" fillId="22" borderId="15" xfId="0" applyNumberFormat="1" applyFont="1" applyFill="1" applyBorder="1" applyAlignment="1">
      <alignment horizontal="center" vertical="center"/>
    </xf>
    <xf numFmtId="166" fontId="3" fillId="0" borderId="17" xfId="0" applyNumberFormat="1" applyFont="1" applyBorder="1" applyAlignment="1">
      <alignment horizontal="center" vertical="center" shrinkToFit="1"/>
    </xf>
    <xf numFmtId="166" fontId="3" fillId="0" borderId="18" xfId="0" applyNumberFormat="1" applyFont="1" applyBorder="1" applyAlignment="1">
      <alignment horizontal="center" vertical="center" shrinkToFit="1"/>
    </xf>
    <xf numFmtId="1" fontId="48" fillId="22" borderId="15" xfId="0" applyNumberFormat="1" applyFont="1" applyFill="1" applyBorder="1" applyAlignment="1">
      <alignment horizontal="center" vertical="center"/>
    </xf>
    <xf numFmtId="1" fontId="49" fillId="0" borderId="11" xfId="0" applyNumberFormat="1" applyFont="1" applyBorder="1" applyAlignment="1">
      <alignment horizontal="center" vertical="center"/>
    </xf>
    <xf numFmtId="0" fontId="41" fillId="22" borderId="15" xfId="0" applyFont="1" applyFill="1" applyBorder="1" applyAlignment="1">
      <alignment horizontal="left" vertical="center"/>
    </xf>
    <xf numFmtId="9" fontId="41" fillId="0" borderId="10" xfId="0" applyNumberFormat="1" applyFont="1" applyBorder="1" applyAlignment="1">
      <alignment horizontal="left" vertical="center"/>
    </xf>
    <xf numFmtId="0" fontId="50" fillId="0" borderId="0" xfId="0" applyFont="1"/>
    <xf numFmtId="0" fontId="50" fillId="0" borderId="0" xfId="0" applyFont="1" applyAlignment="1">
      <alignment horizontal="right" vertical="center"/>
    </xf>
    <xf numFmtId="165" fontId="41" fillId="22" borderId="15" xfId="0" applyNumberFormat="1" applyFont="1" applyFill="1" applyBorder="1" applyAlignment="1">
      <alignment horizontal="center" vertical="center"/>
    </xf>
    <xf numFmtId="0" fontId="51" fillId="0" borderId="19" xfId="0" applyFont="1" applyBorder="1" applyAlignment="1">
      <alignment horizontal="left" vertical="center"/>
    </xf>
    <xf numFmtId="0" fontId="51" fillId="0" borderId="19" xfId="0" applyFont="1" applyBorder="1" applyAlignment="1">
      <alignment horizontal="center" vertical="center" wrapText="1"/>
    </xf>
    <xf numFmtId="0" fontId="51" fillId="0" borderId="19" xfId="0" applyFont="1" applyBorder="1" applyAlignment="1">
      <alignment horizontal="center" vertical="center"/>
    </xf>
    <xf numFmtId="0" fontId="41" fillId="0" borderId="20" xfId="0" applyFont="1" applyBorder="1" applyAlignment="1">
      <alignment horizontal="center" vertical="center" shrinkToFit="1"/>
    </xf>
    <xf numFmtId="0" fontId="41" fillId="0" borderId="21" xfId="0" applyFont="1" applyBorder="1" applyAlignment="1">
      <alignment horizontal="center" vertical="center" shrinkToFit="1"/>
    </xf>
    <xf numFmtId="0" fontId="41" fillId="0" borderId="22" xfId="0" applyFont="1" applyBorder="1" applyAlignment="1">
      <alignment horizontal="center" vertical="center" shrinkToFit="1"/>
    </xf>
    <xf numFmtId="0" fontId="52" fillId="0" borderId="0" xfId="0" applyFont="1" applyAlignment="1" applyProtection="1">
      <alignment vertical="center"/>
      <protection locked="0"/>
    </xf>
    <xf numFmtId="0" fontId="41" fillId="0" borderId="10" xfId="0" applyFont="1" applyBorder="1" applyAlignment="1">
      <alignment vertical="center" wrapText="1"/>
    </xf>
    <xf numFmtId="0" fontId="41" fillId="0" borderId="10" xfId="0" applyFont="1" applyBorder="1" applyAlignment="1">
      <alignment horizontal="left" vertical="center" wrapText="1" indent="1"/>
    </xf>
    <xf numFmtId="0" fontId="44" fillId="0" borderId="23" xfId="0" applyFont="1" applyBorder="1" applyAlignment="1" applyProtection="1">
      <alignment horizontal="center" vertical="center"/>
      <protection locked="0"/>
    </xf>
    <xf numFmtId="0" fontId="1" fillId="0" borderId="0" xfId="0" applyFont="1" applyAlignment="1">
      <alignment horizontal="right" vertical="center"/>
    </xf>
    <xf numFmtId="0" fontId="54" fillId="0" borderId="0" xfId="0" applyFont="1"/>
    <xf numFmtId="0" fontId="1" fillId="0" borderId="0" xfId="0" applyFont="1" applyAlignment="1">
      <alignment vertical="center"/>
    </xf>
    <xf numFmtId="0" fontId="1" fillId="24" borderId="0" xfId="0" applyFont="1" applyFill="1" applyAlignment="1">
      <alignment horizontal="center" vertical="center"/>
    </xf>
    <xf numFmtId="0" fontId="1" fillId="21" borderId="0" xfId="0" applyFont="1" applyFill="1" applyAlignment="1">
      <alignment horizontal="center" vertical="center"/>
    </xf>
    <xf numFmtId="0" fontId="55" fillId="0" borderId="0" xfId="0" applyFont="1" applyAlignment="1">
      <alignment wrapText="1"/>
    </xf>
    <xf numFmtId="0" fontId="36" fillId="0" borderId="0" xfId="34" applyFont="1" applyAlignment="1" applyProtection="1"/>
    <xf numFmtId="0" fontId="55" fillId="0" borderId="0" xfId="0" applyFont="1" applyAlignment="1">
      <alignment horizontal="left" wrapText="1"/>
    </xf>
    <xf numFmtId="0" fontId="55" fillId="0" borderId="0" xfId="0" applyFont="1" applyAlignment="1">
      <alignment vertical="center" wrapText="1"/>
    </xf>
    <xf numFmtId="0" fontId="56" fillId="0" borderId="0" xfId="0" applyFont="1" applyAlignment="1">
      <alignment vertical="center"/>
    </xf>
    <xf numFmtId="0" fontId="56" fillId="0" borderId="0" xfId="0" applyFont="1"/>
    <xf numFmtId="0" fontId="57" fillId="0" borderId="0" xfId="0" applyFont="1" applyAlignment="1">
      <alignment vertical="center" wrapText="1"/>
    </xf>
    <xf numFmtId="0" fontId="36" fillId="0" borderId="0" xfId="34" applyFont="1" applyFill="1" applyBorder="1" applyAlignment="1" applyProtection="1">
      <alignment vertical="center"/>
    </xf>
    <xf numFmtId="0" fontId="59" fillId="0" borderId="0" xfId="0" applyFont="1" applyAlignment="1">
      <alignment horizontal="right"/>
    </xf>
    <xf numFmtId="0" fontId="55" fillId="0" borderId="0" xfId="0" applyFont="1"/>
    <xf numFmtId="0" fontId="55" fillId="0" borderId="0" xfId="0" applyFont="1" applyAlignment="1">
      <alignment horizontal="left" indent="1"/>
    </xf>
    <xf numFmtId="0" fontId="55" fillId="0" borderId="0" xfId="0" quotePrefix="1" applyFont="1" applyAlignment="1">
      <alignment horizontal="left" wrapText="1" indent="1"/>
    </xf>
    <xf numFmtId="0" fontId="35" fillId="0" borderId="0" xfId="0" quotePrefix="1" applyFont="1" applyAlignment="1">
      <alignment horizontal="left" indent="1"/>
    </xf>
    <xf numFmtId="0" fontId="59" fillId="0" borderId="0" xfId="0" applyFont="1" applyAlignment="1">
      <alignment horizontal="left" wrapText="1"/>
    </xf>
    <xf numFmtId="0" fontId="55" fillId="0" borderId="0" xfId="0" applyFont="1" applyAlignment="1">
      <alignment horizontal="left" vertical="center" wrapText="1"/>
    </xf>
    <xf numFmtId="0" fontId="61" fillId="0" borderId="0" xfId="0" applyFont="1" applyAlignment="1">
      <alignment horizontal="right"/>
    </xf>
    <xf numFmtId="0" fontId="62" fillId="0" borderId="0" xfId="0" applyFont="1" applyAlignment="1">
      <alignment vertical="center" wrapText="1"/>
    </xf>
    <xf numFmtId="0" fontId="55" fillId="0" borderId="0" xfId="0" quotePrefix="1" applyFont="1" applyAlignment="1">
      <alignment wrapText="1"/>
    </xf>
    <xf numFmtId="0" fontId="62" fillId="0" borderId="0" xfId="0" applyFont="1"/>
    <xf numFmtId="0" fontId="10" fillId="0" borderId="0" xfId="0" applyFont="1" applyProtection="1">
      <protection locked="0"/>
    </xf>
    <xf numFmtId="0" fontId="61" fillId="0" borderId="0" xfId="0" applyFont="1"/>
    <xf numFmtId="0" fontId="64" fillId="0" borderId="10" xfId="0" applyFont="1" applyBorder="1" applyAlignment="1">
      <alignment horizontal="left" vertical="center"/>
    </xf>
    <xf numFmtId="14" fontId="46" fillId="23" borderId="11" xfId="0" applyNumberFormat="1" applyFont="1" applyFill="1" applyBorder="1" applyAlignment="1">
      <alignment horizontal="center" vertical="center"/>
    </xf>
    <xf numFmtId="14" fontId="46" fillId="0" borderId="11" xfId="0" applyNumberFormat="1" applyFont="1" applyBorder="1" applyAlignment="1">
      <alignment horizontal="center" vertical="center"/>
    </xf>
    <xf numFmtId="0" fontId="53" fillId="0" borderId="0" xfId="34" applyFont="1" applyBorder="1" applyAlignment="1" applyProtection="1">
      <alignment horizontal="left" vertical="center"/>
    </xf>
    <xf numFmtId="164" fontId="44" fillId="0" borderId="16" xfId="0" applyNumberFormat="1" applyFont="1" applyBorder="1" applyAlignment="1" applyProtection="1">
      <alignment horizontal="center" vertical="center" shrinkToFit="1"/>
      <protection locked="0"/>
    </xf>
    <xf numFmtId="0" fontId="47" fillId="0" borderId="17" xfId="0" applyFont="1" applyBorder="1" applyAlignment="1">
      <alignment horizontal="center" vertical="center"/>
    </xf>
    <xf numFmtId="0" fontId="47" fillId="0" borderId="12" xfId="0" applyFont="1" applyBorder="1" applyAlignment="1">
      <alignment horizontal="center" vertical="center"/>
    </xf>
    <xf numFmtId="0" fontId="47" fillId="0" borderId="18" xfId="0" applyFont="1" applyBorder="1" applyAlignment="1">
      <alignment horizontal="center" vertical="center"/>
    </xf>
    <xf numFmtId="164" fontId="44" fillId="0" borderId="23" xfId="0" applyNumberFormat="1" applyFont="1" applyBorder="1" applyAlignment="1" applyProtection="1">
      <alignment horizontal="center" vertical="center" shrinkToFit="1"/>
      <protection locked="0"/>
    </xf>
    <xf numFmtId="167" fontId="44" fillId="0" borderId="17" xfId="0" applyNumberFormat="1" applyFont="1" applyBorder="1" applyAlignment="1">
      <alignment horizontal="center" vertical="center"/>
    </xf>
    <xf numFmtId="167" fontId="44" fillId="0" borderId="12" xfId="0" applyNumberFormat="1" applyFont="1" applyBorder="1" applyAlignment="1">
      <alignment horizontal="center" vertical="center"/>
    </xf>
    <xf numFmtId="167" fontId="44" fillId="0" borderId="18" xfId="0" applyNumberFormat="1" applyFont="1" applyBorder="1" applyAlignment="1">
      <alignment horizontal="center" vertical="center"/>
    </xf>
    <xf numFmtId="0" fontId="54" fillId="0" borderId="0" xfId="0" applyFont="1" applyAlignment="1">
      <alignment horizontal="left"/>
    </xf>
  </cellXfs>
  <cellStyles count="44">
    <cellStyle name="20 % - Accent1" xfId="1" builtinId="30" customBuiltin="1"/>
    <cellStyle name="20 % - Accent2" xfId="2" builtinId="34" customBuiltin="1"/>
    <cellStyle name="20 % - Accent3" xfId="3" builtinId="38" customBuiltin="1"/>
    <cellStyle name="20 % - Accent4" xfId="4" builtinId="42" customBuiltin="1"/>
    <cellStyle name="20 % - Accent5" xfId="5" builtinId="46" customBuiltin="1"/>
    <cellStyle name="20 % - Accent6" xfId="6" builtinId="50" customBuiltin="1"/>
    <cellStyle name="40 % - Accent1" xfId="7" builtinId="31" customBuiltin="1"/>
    <cellStyle name="40 % - Accent2" xfId="8" builtinId="35" customBuiltin="1"/>
    <cellStyle name="40 % - Accent3" xfId="9" builtinId="39" customBuiltin="1"/>
    <cellStyle name="40 % - Accent4" xfId="10" builtinId="43" customBuiltin="1"/>
    <cellStyle name="40 % - Accent5" xfId="11" builtinId="47" customBuiltin="1"/>
    <cellStyle name="40 % - Accent6" xfId="12" builtinId="51" customBuiltin="1"/>
    <cellStyle name="60 % - Accent1" xfId="13" builtinId="32" customBuiltin="1"/>
    <cellStyle name="60 % - Accent2" xfId="14" builtinId="36" customBuiltin="1"/>
    <cellStyle name="60 % - Accent3" xfId="15" builtinId="40" customBuiltin="1"/>
    <cellStyle name="60 % - Accent4" xfId="16" builtinId="44" customBuiltin="1"/>
    <cellStyle name="60 % - Accent5" xfId="17" builtinId="48" customBuiltin="1"/>
    <cellStyle name="60 %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Avertissement" xfId="43" builtinId="11" customBuiltin="1"/>
    <cellStyle name="Calcul" xfId="26" builtinId="22" customBuiltin="1"/>
    <cellStyle name="Cellule liée" xfId="36" builtinId="24" customBuiltin="1"/>
    <cellStyle name="Entrée" xfId="35" builtinId="20" customBuiltin="1"/>
    <cellStyle name="Insatisfaisant" xfId="25" builtinId="27" customBuiltin="1"/>
    <cellStyle name="Lien hypertexte" xfId="34" builtinId="8"/>
    <cellStyle name="Neutre" xfId="37" builtinId="28" customBuiltin="1"/>
    <cellStyle name="Normal" xfId="0" builtinId="0"/>
    <cellStyle name="Note" xfId="38" builtinId="10" customBuiltin="1"/>
    <cellStyle name="Pourcentage" xfId="40" builtinId="5"/>
    <cellStyle name="Satisfaisant" xfId="29" builtinId="26" customBuiltin="1"/>
    <cellStyle name="Sortie" xfId="39" builtinId="21" customBuiltin="1"/>
    <cellStyle name="Texte explicatif" xfId="28" builtinId="53" customBuiltin="1"/>
    <cellStyle name="Titre" xfId="41" builtinId="15" customBuiltin="1"/>
    <cellStyle name="Titre 1" xfId="30" builtinId="16" customBuiltin="1"/>
    <cellStyle name="Titre 2" xfId="31" builtinId="17" customBuiltin="1"/>
    <cellStyle name="Titre 3" xfId="32" builtinId="18" customBuiltin="1"/>
    <cellStyle name="Titre 4" xfId="33" builtinId="19" customBuiltin="1"/>
    <cellStyle name="Total" xfId="42" builtinId="25" customBuiltin="1"/>
    <cellStyle name="Vérification" xfId="27" builtinId="23" customBuiltin="1"/>
  </cellStyles>
  <dxfs count="4">
    <dxf>
      <border>
        <left style="thin">
          <color rgb="FFC00000"/>
        </left>
        <right style="thin">
          <color rgb="FFC00000"/>
        </right>
        <vertical/>
        <horizontal/>
      </border>
    </dxf>
    <dxf>
      <fill>
        <patternFill>
          <bgColor rgb="FF0070C0"/>
        </patternFill>
      </fill>
    </dxf>
    <dxf>
      <fill>
        <patternFill>
          <bgColor theme="0" tint="-0.499984740745262"/>
        </patternFill>
      </fill>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Scroll" dx="22" fmlaLink="$G$4" horiz="1" max="100" min="1" page="0"/>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2</xdr:col>
      <xdr:colOff>495300</xdr:colOff>
      <xdr:row>5</xdr:row>
      <xdr:rowOff>142875</xdr:rowOff>
    </xdr:from>
    <xdr:to>
      <xdr:col>7</xdr:col>
      <xdr:colOff>308610</xdr:colOff>
      <xdr:row>10</xdr:row>
      <xdr:rowOff>80433</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8</xdr:col>
          <xdr:colOff>99060</xdr:colOff>
          <xdr:row>1</xdr:row>
          <xdr:rowOff>121920</xdr:rowOff>
        </xdr:from>
        <xdr:to>
          <xdr:col>26</xdr:col>
          <xdr:colOff>106680</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3396" y="548640"/>
          <a:ext cx="2019299" cy="175450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21580" y="0"/>
          <a:ext cx="1476375" cy="3409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7275" y="1"/>
          <a:ext cx="1504950" cy="33861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43374" y="1"/>
          <a:ext cx="1609725" cy="362188"/>
        </a:xfrm>
        <a:prstGeom prst="rect">
          <a:avLst/>
        </a:prstGeom>
      </xdr:spPr>
    </xdr:pic>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blog/business/pm/new-gantt-chart-for-excel-online.html" TargetMode="External"/><Relationship Id="rId2" Type="http://schemas.openxmlformats.org/officeDocument/2006/relationships/hyperlink" Target="https://www.vertex42.com/Links/go.php?urlid=GanttChartPro" TargetMode="External"/><Relationship Id="rId1" Type="http://schemas.openxmlformats.org/officeDocument/2006/relationships/hyperlink" Target="https://www.vertex42.com/Links/go.php?urlid=GanttChartPro"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excel.uservoice.com/forums/304921-excel-for-windows-desktop-application/suggestions/19676413-make-paste-and-merge-conditional-formatting-the" TargetMode="External"/><Relationship Id="rId7" Type="http://schemas.openxmlformats.org/officeDocument/2006/relationships/comments" Target="../comments2.xml"/><Relationship Id="rId2" Type="http://schemas.openxmlformats.org/officeDocument/2006/relationships/hyperlink" Target="https://www.vertex42.com/ExcelTemplates/excel-gantt-chart.html" TargetMode="External"/><Relationship Id="rId1" Type="http://schemas.openxmlformats.org/officeDocument/2006/relationships/hyperlink" Target="https://www.vertex42.com/Links/go.php?urlid=GanttChartPro" TargetMode="External"/><Relationship Id="rId6" Type="http://schemas.openxmlformats.org/officeDocument/2006/relationships/vmlDrawing" Target="../drawings/vmlDrawing2.vm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excel-gantt-chart.html" TargetMode="Externa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BM17"/>
  <sheetViews>
    <sheetView showGridLines="0" tabSelected="1" topLeftCell="B1" zoomScale="97" zoomScaleNormal="100" workbookViewId="0">
      <pane ySplit="7" topLeftCell="A8" activePane="bottomLeft" state="frozen"/>
      <selection pane="bottomLeft" activeCell="G13" sqref="G13"/>
    </sheetView>
  </sheetViews>
  <sheetFormatPr baseColWidth="10" defaultColWidth="9.109375" defaultRowHeight="13.2" x14ac:dyDescent="0.25"/>
  <cols>
    <col min="1" max="1" width="6.88671875" customWidth="1"/>
    <col min="2" max="2" width="60" customWidth="1"/>
    <col min="3" max="3" width="17.77734375" customWidth="1"/>
    <col min="4" max="5" width="12" customWidth="1"/>
    <col min="6" max="6" width="6" customWidth="1"/>
    <col min="7" max="7" width="6.6640625" customWidth="1"/>
    <col min="8" max="8" width="6.44140625" customWidth="1"/>
    <col min="9" max="9" width="1.88671875" customWidth="1"/>
    <col min="10" max="65" width="2.44140625" customWidth="1"/>
  </cols>
  <sheetData>
    <row r="1" spans="1:65" ht="30" customHeight="1" x14ac:dyDescent="0.25">
      <c r="A1" s="60" t="s">
        <v>144</v>
      </c>
      <c r="B1" s="28"/>
      <c r="C1" s="28"/>
      <c r="D1" s="28"/>
      <c r="E1" s="28"/>
      <c r="H1" s="64"/>
      <c r="J1" s="93"/>
      <c r="K1" s="93"/>
      <c r="L1" s="93"/>
      <c r="M1" s="93"/>
      <c r="N1" s="93"/>
      <c r="O1" s="93"/>
      <c r="P1" s="93"/>
      <c r="Q1" s="93"/>
      <c r="R1" s="93"/>
      <c r="S1" s="93"/>
      <c r="T1" s="93"/>
      <c r="U1" s="93"/>
      <c r="V1" s="93"/>
      <c r="W1" s="93"/>
      <c r="X1" s="93"/>
      <c r="Y1" s="93"/>
      <c r="Z1" s="93"/>
      <c r="AA1" s="93"/>
      <c r="AB1" s="93"/>
      <c r="AC1" s="93"/>
      <c r="AD1" s="93"/>
    </row>
    <row r="2" spans="1:65" ht="18" customHeight="1" x14ac:dyDescent="0.25">
      <c r="A2" s="30" t="s">
        <v>128</v>
      </c>
      <c r="B2" s="12"/>
      <c r="C2" s="12"/>
      <c r="D2" s="88"/>
      <c r="E2" s="88"/>
      <c r="G2" s="1"/>
    </row>
    <row r="3" spans="1:65" ht="13.8" x14ac:dyDescent="0.25">
      <c r="A3" s="30"/>
      <c r="B3" s="2"/>
      <c r="G3" s="1"/>
      <c r="J3" s="18"/>
      <c r="K3" s="18"/>
      <c r="L3" s="18"/>
      <c r="M3" s="18"/>
      <c r="N3" s="18"/>
      <c r="O3" s="18"/>
      <c r="P3" s="18"/>
      <c r="Q3" s="18"/>
      <c r="R3" s="18"/>
      <c r="S3" s="18"/>
      <c r="T3" s="18"/>
      <c r="U3" s="18"/>
      <c r="V3" s="18"/>
      <c r="W3" s="18"/>
      <c r="X3" s="18"/>
      <c r="Y3" s="18"/>
      <c r="Z3" s="18"/>
    </row>
    <row r="4" spans="1:65" ht="17.25" customHeight="1" x14ac:dyDescent="0.25">
      <c r="A4" s="51"/>
      <c r="B4" s="52" t="s">
        <v>68</v>
      </c>
      <c r="C4" s="98">
        <v>44970</v>
      </c>
      <c r="D4" s="98"/>
      <c r="E4" s="51"/>
      <c r="F4" s="52" t="s">
        <v>67</v>
      </c>
      <c r="G4" s="63">
        <v>1</v>
      </c>
      <c r="H4" s="2"/>
      <c r="I4" s="29"/>
      <c r="J4" s="95" t="str">
        <f>"Week "&amp;(J6-($C$4-WEEKDAY($C$4,1)+2))/7+1</f>
        <v>Week 1</v>
      </c>
      <c r="K4" s="96"/>
      <c r="L4" s="96"/>
      <c r="M4" s="96"/>
      <c r="N4" s="96"/>
      <c r="O4" s="96"/>
      <c r="P4" s="97"/>
      <c r="Q4" s="95" t="str">
        <f>"Week "&amp;(Q6-($C$4-WEEKDAY($C$4,1)+2))/7+1</f>
        <v>Week 2</v>
      </c>
      <c r="R4" s="96"/>
      <c r="S4" s="96"/>
      <c r="T4" s="96"/>
      <c r="U4" s="96"/>
      <c r="V4" s="96"/>
      <c r="W4" s="97"/>
      <c r="X4" s="95" t="str">
        <f>"Week "&amp;(X6-($C$4-WEEKDAY($C$4,1)+2))/7+1</f>
        <v>Week 3</v>
      </c>
      <c r="Y4" s="96"/>
      <c r="Z4" s="96"/>
      <c r="AA4" s="96"/>
      <c r="AB4" s="96"/>
      <c r="AC4" s="96"/>
      <c r="AD4" s="97"/>
      <c r="AE4" s="95" t="str">
        <f>"Week "&amp;(AE6-($C$4-WEEKDAY($C$4,1)+2))/7+1</f>
        <v>Week 4</v>
      </c>
      <c r="AF4" s="96"/>
      <c r="AG4" s="96"/>
      <c r="AH4" s="96"/>
      <c r="AI4" s="96"/>
      <c r="AJ4" s="96"/>
      <c r="AK4" s="97"/>
      <c r="AL4" s="95" t="str">
        <f>"Week "&amp;(AL6-($C$4-WEEKDAY($C$4,1)+2))/7+1</f>
        <v>Week 5</v>
      </c>
      <c r="AM4" s="96"/>
      <c r="AN4" s="96"/>
      <c r="AO4" s="96"/>
      <c r="AP4" s="96"/>
      <c r="AQ4" s="96"/>
      <c r="AR4" s="97"/>
      <c r="AS4" s="95" t="str">
        <f>"Week "&amp;(AS6-($C$4-WEEKDAY($C$4,1)+2))/7+1</f>
        <v>Week 6</v>
      </c>
      <c r="AT4" s="96"/>
      <c r="AU4" s="96"/>
      <c r="AV4" s="96"/>
      <c r="AW4" s="96"/>
      <c r="AX4" s="96"/>
      <c r="AY4" s="97"/>
      <c r="AZ4" s="95" t="str">
        <f>"Week "&amp;(AZ6-($C$4-WEEKDAY($C$4,1)+2))/7+1</f>
        <v>Week 7</v>
      </c>
      <c r="BA4" s="96"/>
      <c r="BB4" s="96"/>
      <c r="BC4" s="96"/>
      <c r="BD4" s="96"/>
      <c r="BE4" s="96"/>
      <c r="BF4" s="97"/>
      <c r="BG4" s="95" t="str">
        <f>"Week "&amp;(BG6-($C$4-WEEKDAY($C$4,1)+2))/7+1</f>
        <v>Week 8</v>
      </c>
      <c r="BH4" s="96"/>
      <c r="BI4" s="96"/>
      <c r="BJ4" s="96"/>
      <c r="BK4" s="96"/>
      <c r="BL4" s="96"/>
      <c r="BM4" s="97"/>
    </row>
    <row r="5" spans="1:65" ht="17.25" customHeight="1" x14ac:dyDescent="0.25">
      <c r="A5" s="51"/>
      <c r="B5" s="52" t="s">
        <v>69</v>
      </c>
      <c r="C5" s="94" t="s">
        <v>143</v>
      </c>
      <c r="D5" s="94"/>
      <c r="E5" s="51"/>
      <c r="F5" s="51"/>
      <c r="G5" s="51"/>
      <c r="H5" s="51"/>
      <c r="I5" s="29"/>
      <c r="J5" s="99">
        <f>J6</f>
        <v>44970</v>
      </c>
      <c r="K5" s="100"/>
      <c r="L5" s="100"/>
      <c r="M5" s="100"/>
      <c r="N5" s="100"/>
      <c r="O5" s="100"/>
      <c r="P5" s="101"/>
      <c r="Q5" s="99">
        <f>Q6</f>
        <v>44977</v>
      </c>
      <c r="R5" s="100"/>
      <c r="S5" s="100"/>
      <c r="T5" s="100"/>
      <c r="U5" s="100"/>
      <c r="V5" s="100"/>
      <c r="W5" s="101"/>
      <c r="X5" s="99">
        <f>X6</f>
        <v>44984</v>
      </c>
      <c r="Y5" s="100"/>
      <c r="Z5" s="100"/>
      <c r="AA5" s="100"/>
      <c r="AB5" s="100"/>
      <c r="AC5" s="100"/>
      <c r="AD5" s="101"/>
      <c r="AE5" s="99">
        <f>AE6</f>
        <v>44991</v>
      </c>
      <c r="AF5" s="100"/>
      <c r="AG5" s="100"/>
      <c r="AH5" s="100"/>
      <c r="AI5" s="100"/>
      <c r="AJ5" s="100"/>
      <c r="AK5" s="101"/>
      <c r="AL5" s="99">
        <f>AL6</f>
        <v>44998</v>
      </c>
      <c r="AM5" s="100"/>
      <c r="AN5" s="100"/>
      <c r="AO5" s="100"/>
      <c r="AP5" s="100"/>
      <c r="AQ5" s="100"/>
      <c r="AR5" s="101"/>
      <c r="AS5" s="99">
        <f>AS6</f>
        <v>45005</v>
      </c>
      <c r="AT5" s="100"/>
      <c r="AU5" s="100"/>
      <c r="AV5" s="100"/>
      <c r="AW5" s="100"/>
      <c r="AX5" s="100"/>
      <c r="AY5" s="101"/>
      <c r="AZ5" s="99">
        <f>AZ6</f>
        <v>45012</v>
      </c>
      <c r="BA5" s="100"/>
      <c r="BB5" s="100"/>
      <c r="BC5" s="100"/>
      <c r="BD5" s="100"/>
      <c r="BE5" s="100"/>
      <c r="BF5" s="101"/>
      <c r="BG5" s="99">
        <f>BG6</f>
        <v>45019</v>
      </c>
      <c r="BH5" s="100"/>
      <c r="BI5" s="100"/>
      <c r="BJ5" s="100"/>
      <c r="BK5" s="100"/>
      <c r="BL5" s="100"/>
      <c r="BM5" s="101"/>
    </row>
    <row r="6" spans="1:65" x14ac:dyDescent="0.25">
      <c r="A6" s="29"/>
      <c r="B6" s="29"/>
      <c r="C6" s="29"/>
      <c r="D6" s="29"/>
      <c r="E6" s="29"/>
      <c r="F6" s="29"/>
      <c r="G6" s="29"/>
      <c r="H6" s="29"/>
      <c r="I6" s="29"/>
      <c r="J6" s="45">
        <f>C4-WEEKDAY(C4,1)+2+7*(G4-1)</f>
        <v>44970</v>
      </c>
      <c r="K6" s="37">
        <f t="shared" ref="K6:AP6" si="0">J6+1</f>
        <v>44971</v>
      </c>
      <c r="L6" s="37">
        <f t="shared" si="0"/>
        <v>44972</v>
      </c>
      <c r="M6" s="37">
        <f t="shared" si="0"/>
        <v>44973</v>
      </c>
      <c r="N6" s="37">
        <f t="shared" si="0"/>
        <v>44974</v>
      </c>
      <c r="O6" s="37">
        <f t="shared" si="0"/>
        <v>44975</v>
      </c>
      <c r="P6" s="46">
        <f t="shared" si="0"/>
        <v>44976</v>
      </c>
      <c r="Q6" s="45">
        <f t="shared" si="0"/>
        <v>44977</v>
      </c>
      <c r="R6" s="37">
        <f t="shared" si="0"/>
        <v>44978</v>
      </c>
      <c r="S6" s="37">
        <f t="shared" si="0"/>
        <v>44979</v>
      </c>
      <c r="T6" s="37">
        <f t="shared" si="0"/>
        <v>44980</v>
      </c>
      <c r="U6" s="37">
        <f t="shared" si="0"/>
        <v>44981</v>
      </c>
      <c r="V6" s="37">
        <f t="shared" si="0"/>
        <v>44982</v>
      </c>
      <c r="W6" s="46">
        <f t="shared" si="0"/>
        <v>44983</v>
      </c>
      <c r="X6" s="45">
        <f t="shared" si="0"/>
        <v>44984</v>
      </c>
      <c r="Y6" s="37">
        <f t="shared" si="0"/>
        <v>44985</v>
      </c>
      <c r="Z6" s="37">
        <f t="shared" si="0"/>
        <v>44986</v>
      </c>
      <c r="AA6" s="37">
        <f t="shared" si="0"/>
        <v>44987</v>
      </c>
      <c r="AB6" s="37">
        <f t="shared" si="0"/>
        <v>44988</v>
      </c>
      <c r="AC6" s="37">
        <f t="shared" si="0"/>
        <v>44989</v>
      </c>
      <c r="AD6" s="46">
        <f t="shared" si="0"/>
        <v>44990</v>
      </c>
      <c r="AE6" s="45">
        <f t="shared" si="0"/>
        <v>44991</v>
      </c>
      <c r="AF6" s="37">
        <f t="shared" si="0"/>
        <v>44992</v>
      </c>
      <c r="AG6" s="37">
        <f t="shared" si="0"/>
        <v>44993</v>
      </c>
      <c r="AH6" s="37">
        <f t="shared" si="0"/>
        <v>44994</v>
      </c>
      <c r="AI6" s="37">
        <f t="shared" si="0"/>
        <v>44995</v>
      </c>
      <c r="AJ6" s="37">
        <f t="shared" si="0"/>
        <v>44996</v>
      </c>
      <c r="AK6" s="46">
        <f t="shared" si="0"/>
        <v>44997</v>
      </c>
      <c r="AL6" s="45">
        <f t="shared" si="0"/>
        <v>44998</v>
      </c>
      <c r="AM6" s="37">
        <f t="shared" si="0"/>
        <v>44999</v>
      </c>
      <c r="AN6" s="37">
        <f t="shared" si="0"/>
        <v>45000</v>
      </c>
      <c r="AO6" s="37">
        <f t="shared" si="0"/>
        <v>45001</v>
      </c>
      <c r="AP6" s="37">
        <f t="shared" si="0"/>
        <v>45002</v>
      </c>
      <c r="AQ6" s="37">
        <f t="shared" ref="AQ6:BM6" si="1">AP6+1</f>
        <v>45003</v>
      </c>
      <c r="AR6" s="46">
        <f t="shared" si="1"/>
        <v>45004</v>
      </c>
      <c r="AS6" s="45">
        <f t="shared" si="1"/>
        <v>45005</v>
      </c>
      <c r="AT6" s="37">
        <f t="shared" si="1"/>
        <v>45006</v>
      </c>
      <c r="AU6" s="37">
        <f t="shared" si="1"/>
        <v>45007</v>
      </c>
      <c r="AV6" s="37">
        <f t="shared" si="1"/>
        <v>45008</v>
      </c>
      <c r="AW6" s="37">
        <f t="shared" si="1"/>
        <v>45009</v>
      </c>
      <c r="AX6" s="37">
        <f t="shared" si="1"/>
        <v>45010</v>
      </c>
      <c r="AY6" s="46">
        <f t="shared" si="1"/>
        <v>45011</v>
      </c>
      <c r="AZ6" s="45">
        <f t="shared" si="1"/>
        <v>45012</v>
      </c>
      <c r="BA6" s="37">
        <f t="shared" si="1"/>
        <v>45013</v>
      </c>
      <c r="BB6" s="37">
        <f t="shared" si="1"/>
        <v>45014</v>
      </c>
      <c r="BC6" s="37">
        <f t="shared" si="1"/>
        <v>45015</v>
      </c>
      <c r="BD6" s="37">
        <f t="shared" si="1"/>
        <v>45016</v>
      </c>
      <c r="BE6" s="37">
        <f t="shared" si="1"/>
        <v>45017</v>
      </c>
      <c r="BF6" s="46">
        <f t="shared" si="1"/>
        <v>45018</v>
      </c>
      <c r="BG6" s="45">
        <f t="shared" si="1"/>
        <v>45019</v>
      </c>
      <c r="BH6" s="37">
        <f t="shared" si="1"/>
        <v>45020</v>
      </c>
      <c r="BI6" s="37">
        <f t="shared" si="1"/>
        <v>45021</v>
      </c>
      <c r="BJ6" s="37">
        <f t="shared" si="1"/>
        <v>45022</v>
      </c>
      <c r="BK6" s="37">
        <f t="shared" si="1"/>
        <v>45023</v>
      </c>
      <c r="BL6" s="37">
        <f t="shared" si="1"/>
        <v>45024</v>
      </c>
      <c r="BM6" s="46">
        <f t="shared" si="1"/>
        <v>45025</v>
      </c>
    </row>
    <row r="7" spans="1:65" s="2" customFormat="1" ht="24.6" thickBot="1" x14ac:dyDescent="0.3">
      <c r="A7" s="54" t="s">
        <v>0</v>
      </c>
      <c r="B7" s="54" t="s">
        <v>60</v>
      </c>
      <c r="C7" s="55" t="s">
        <v>61</v>
      </c>
      <c r="D7" s="56" t="s">
        <v>62</v>
      </c>
      <c r="E7" s="56" t="s">
        <v>63</v>
      </c>
      <c r="F7" s="55" t="s">
        <v>64</v>
      </c>
      <c r="G7" s="55" t="s">
        <v>65</v>
      </c>
      <c r="H7" s="55" t="s">
        <v>66</v>
      </c>
      <c r="I7" s="55"/>
      <c r="J7" s="57" t="str">
        <f t="shared" ref="J7:AO7" si="2">CHOOSE(WEEKDAY(J6,1),"S","M","T","W","T","F","S")</f>
        <v>M</v>
      </c>
      <c r="K7" s="58" t="str">
        <f t="shared" si="2"/>
        <v>T</v>
      </c>
      <c r="L7" s="58" t="str">
        <f t="shared" si="2"/>
        <v>W</v>
      </c>
      <c r="M7" s="58" t="str">
        <f t="shared" si="2"/>
        <v>T</v>
      </c>
      <c r="N7" s="58" t="str">
        <f t="shared" si="2"/>
        <v>F</v>
      </c>
      <c r="O7" s="58" t="str">
        <f t="shared" si="2"/>
        <v>S</v>
      </c>
      <c r="P7" s="59" t="str">
        <f t="shared" si="2"/>
        <v>S</v>
      </c>
      <c r="Q7" s="57" t="str">
        <f t="shared" si="2"/>
        <v>M</v>
      </c>
      <c r="R7" s="58" t="str">
        <f t="shared" si="2"/>
        <v>T</v>
      </c>
      <c r="S7" s="58" t="str">
        <f t="shared" si="2"/>
        <v>W</v>
      </c>
      <c r="T7" s="58" t="str">
        <f t="shared" si="2"/>
        <v>T</v>
      </c>
      <c r="U7" s="58" t="str">
        <f t="shared" si="2"/>
        <v>F</v>
      </c>
      <c r="V7" s="58" t="str">
        <f t="shared" si="2"/>
        <v>S</v>
      </c>
      <c r="W7" s="59" t="str">
        <f t="shared" si="2"/>
        <v>S</v>
      </c>
      <c r="X7" s="57" t="str">
        <f t="shared" si="2"/>
        <v>M</v>
      </c>
      <c r="Y7" s="58" t="str">
        <f t="shared" si="2"/>
        <v>T</v>
      </c>
      <c r="Z7" s="58" t="str">
        <f t="shared" si="2"/>
        <v>W</v>
      </c>
      <c r="AA7" s="58" t="str">
        <f t="shared" si="2"/>
        <v>T</v>
      </c>
      <c r="AB7" s="58" t="str">
        <f t="shared" si="2"/>
        <v>F</v>
      </c>
      <c r="AC7" s="58" t="str">
        <f t="shared" si="2"/>
        <v>S</v>
      </c>
      <c r="AD7" s="59" t="str">
        <f t="shared" si="2"/>
        <v>S</v>
      </c>
      <c r="AE7" s="57" t="str">
        <f t="shared" si="2"/>
        <v>M</v>
      </c>
      <c r="AF7" s="58" t="str">
        <f t="shared" si="2"/>
        <v>T</v>
      </c>
      <c r="AG7" s="58" t="str">
        <f t="shared" si="2"/>
        <v>W</v>
      </c>
      <c r="AH7" s="58" t="str">
        <f t="shared" si="2"/>
        <v>T</v>
      </c>
      <c r="AI7" s="58" t="str">
        <f t="shared" si="2"/>
        <v>F</v>
      </c>
      <c r="AJ7" s="58" t="str">
        <f t="shared" si="2"/>
        <v>S</v>
      </c>
      <c r="AK7" s="59" t="str">
        <f t="shared" si="2"/>
        <v>S</v>
      </c>
      <c r="AL7" s="57" t="str">
        <f t="shared" si="2"/>
        <v>M</v>
      </c>
      <c r="AM7" s="58" t="str">
        <f t="shared" si="2"/>
        <v>T</v>
      </c>
      <c r="AN7" s="58" t="str">
        <f t="shared" si="2"/>
        <v>W</v>
      </c>
      <c r="AO7" s="58" t="str">
        <f t="shared" si="2"/>
        <v>T</v>
      </c>
      <c r="AP7" s="58" t="str">
        <f t="shared" ref="AP7:BM7" si="3">CHOOSE(WEEKDAY(AP6,1),"S","M","T","W","T","F","S")</f>
        <v>F</v>
      </c>
      <c r="AQ7" s="58" t="str">
        <f t="shared" si="3"/>
        <v>S</v>
      </c>
      <c r="AR7" s="59" t="str">
        <f t="shared" si="3"/>
        <v>S</v>
      </c>
      <c r="AS7" s="57" t="str">
        <f t="shared" si="3"/>
        <v>M</v>
      </c>
      <c r="AT7" s="58" t="str">
        <f t="shared" si="3"/>
        <v>T</v>
      </c>
      <c r="AU7" s="58" t="str">
        <f t="shared" si="3"/>
        <v>W</v>
      </c>
      <c r="AV7" s="58" t="str">
        <f t="shared" si="3"/>
        <v>T</v>
      </c>
      <c r="AW7" s="58" t="str">
        <f t="shared" si="3"/>
        <v>F</v>
      </c>
      <c r="AX7" s="58" t="str">
        <f t="shared" si="3"/>
        <v>S</v>
      </c>
      <c r="AY7" s="59" t="str">
        <f t="shared" si="3"/>
        <v>S</v>
      </c>
      <c r="AZ7" s="57" t="str">
        <f t="shared" si="3"/>
        <v>M</v>
      </c>
      <c r="BA7" s="58" t="str">
        <f t="shared" si="3"/>
        <v>T</v>
      </c>
      <c r="BB7" s="58" t="str">
        <f t="shared" si="3"/>
        <v>W</v>
      </c>
      <c r="BC7" s="58" t="str">
        <f t="shared" si="3"/>
        <v>T</v>
      </c>
      <c r="BD7" s="58" t="str">
        <f t="shared" si="3"/>
        <v>F</v>
      </c>
      <c r="BE7" s="58" t="str">
        <f t="shared" si="3"/>
        <v>S</v>
      </c>
      <c r="BF7" s="59" t="str">
        <f t="shared" si="3"/>
        <v>S</v>
      </c>
      <c r="BG7" s="57" t="str">
        <f t="shared" si="3"/>
        <v>M</v>
      </c>
      <c r="BH7" s="58" t="str">
        <f t="shared" si="3"/>
        <v>T</v>
      </c>
      <c r="BI7" s="58" t="str">
        <f t="shared" si="3"/>
        <v>W</v>
      </c>
      <c r="BJ7" s="58" t="str">
        <f t="shared" si="3"/>
        <v>T</v>
      </c>
      <c r="BK7" s="58" t="str">
        <f t="shared" si="3"/>
        <v>F</v>
      </c>
      <c r="BL7" s="58" t="str">
        <f t="shared" si="3"/>
        <v>S</v>
      </c>
      <c r="BM7" s="59" t="str">
        <f t="shared" si="3"/>
        <v>S</v>
      </c>
    </row>
    <row r="8" spans="1:65" s="31" customFormat="1" ht="17.399999999999999" x14ac:dyDescent="0.25">
      <c r="A8" s="38"/>
      <c r="B8" s="39" t="s">
        <v>131</v>
      </c>
      <c r="C8" s="40"/>
      <c r="D8" s="41"/>
      <c r="E8" s="53" t="str">
        <f>IF(ISBLANK(D8)," - ",IF(F8=0,D8,D8+F8-1))</f>
        <v xml:space="preserve"> - </v>
      </c>
      <c r="F8" s="42"/>
      <c r="G8" s="43"/>
      <c r="H8" s="44" t="str">
        <f t="shared" ref="H8:H17" si="4">IF(OR(E8=0,D8=0)," - ",NETWORKDAYS(D8,E8))</f>
        <v xml:space="preserve"> - </v>
      </c>
      <c r="I8" s="47"/>
      <c r="J8" s="49"/>
      <c r="K8" s="49"/>
      <c r="L8" s="49"/>
      <c r="M8" s="49"/>
      <c r="N8" s="49"/>
      <c r="O8" s="49"/>
      <c r="P8" s="49"/>
      <c r="Q8" s="49"/>
      <c r="R8" s="49"/>
      <c r="S8" s="49"/>
      <c r="T8" s="49"/>
      <c r="U8" s="49"/>
      <c r="V8" s="49"/>
      <c r="W8" s="49"/>
      <c r="X8" s="49"/>
      <c r="Y8" s="49"/>
      <c r="Z8" s="49"/>
      <c r="AA8" s="49"/>
      <c r="AB8" s="49"/>
      <c r="AC8" s="49"/>
      <c r="AD8" s="49"/>
      <c r="AE8" s="49"/>
      <c r="AF8" s="49"/>
      <c r="AG8" s="49"/>
      <c r="AH8" s="49"/>
      <c r="AI8" s="49"/>
      <c r="AJ8" s="49"/>
      <c r="AK8" s="49"/>
      <c r="AL8" s="49"/>
      <c r="AM8" s="49"/>
      <c r="AN8" s="49"/>
      <c r="AO8" s="49"/>
      <c r="AP8" s="49"/>
      <c r="AQ8" s="49"/>
      <c r="AR8" s="49"/>
      <c r="AS8" s="49"/>
      <c r="AT8" s="49"/>
      <c r="AU8" s="49"/>
      <c r="AV8" s="49"/>
      <c r="AW8" s="49"/>
      <c r="AX8" s="49"/>
      <c r="AY8" s="49"/>
      <c r="AZ8" s="49"/>
      <c r="BA8" s="49"/>
      <c r="BB8" s="49"/>
      <c r="BC8" s="49"/>
      <c r="BD8" s="49"/>
      <c r="BE8" s="49"/>
      <c r="BF8" s="49"/>
      <c r="BG8" s="49"/>
      <c r="BH8" s="49"/>
      <c r="BI8" s="49"/>
      <c r="BJ8" s="49"/>
      <c r="BK8" s="49"/>
      <c r="BL8" s="49"/>
      <c r="BM8" s="49"/>
    </row>
    <row r="9" spans="1:65" s="33" customFormat="1" ht="17.399999999999999" x14ac:dyDescent="0.25">
      <c r="A9" s="90">
        <v>1</v>
      </c>
      <c r="B9" s="61" t="s">
        <v>132</v>
      </c>
      <c r="C9" s="33" t="s">
        <v>129</v>
      </c>
      <c r="D9" s="91">
        <v>44970</v>
      </c>
      <c r="E9" s="92">
        <f>IF(ISBLANK(D9)," - ",IF(F9=0,D9,D9+F9-1))</f>
        <v>44976</v>
      </c>
      <c r="F9" s="34">
        <v>7</v>
      </c>
      <c r="G9" s="35">
        <v>1</v>
      </c>
      <c r="H9" s="36">
        <f t="shared" si="4"/>
        <v>5</v>
      </c>
      <c r="I9" s="48"/>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row>
    <row r="10" spans="1:65" s="33" customFormat="1" ht="17.399999999999999" x14ac:dyDescent="0.25">
      <c r="A10" s="90" t="s">
        <v>141</v>
      </c>
      <c r="B10" s="61" t="s">
        <v>133</v>
      </c>
      <c r="C10" s="33" t="s">
        <v>130</v>
      </c>
      <c r="D10" s="91">
        <v>44970</v>
      </c>
      <c r="E10" s="92">
        <f t="shared" ref="E10:E17" si="5">IF(ISBLANK(D10)," - ",IF(F10=0,D10,D10+F10-1))</f>
        <v>44976</v>
      </c>
      <c r="F10" s="34">
        <v>7</v>
      </c>
      <c r="G10" s="35">
        <v>1</v>
      </c>
      <c r="H10" s="36">
        <f t="shared" si="4"/>
        <v>5</v>
      </c>
      <c r="I10" s="48"/>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row>
    <row r="11" spans="1:65" s="33" customFormat="1" ht="17.399999999999999" x14ac:dyDescent="0.25">
      <c r="A11" s="90">
        <v>2</v>
      </c>
      <c r="B11" s="61" t="s">
        <v>134</v>
      </c>
      <c r="C11" s="33" t="s">
        <v>129</v>
      </c>
      <c r="D11" s="91">
        <v>44977</v>
      </c>
      <c r="E11" s="92">
        <f t="shared" si="5"/>
        <v>44983</v>
      </c>
      <c r="F11" s="34">
        <v>7</v>
      </c>
      <c r="G11" s="35">
        <v>1</v>
      </c>
      <c r="H11" s="36">
        <f t="shared" si="4"/>
        <v>5</v>
      </c>
      <c r="I11" s="48"/>
      <c r="J11" s="32"/>
      <c r="K11" s="32"/>
      <c r="L11" s="50"/>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row>
    <row r="12" spans="1:65" s="33" customFormat="1" ht="22.8" x14ac:dyDescent="0.25">
      <c r="A12" s="90">
        <v>2.5</v>
      </c>
      <c r="B12" s="61" t="s">
        <v>135</v>
      </c>
      <c r="C12" s="33" t="s">
        <v>130</v>
      </c>
      <c r="D12" s="91">
        <v>44977</v>
      </c>
      <c r="E12" s="92">
        <f t="shared" si="5"/>
        <v>44983</v>
      </c>
      <c r="F12" s="34">
        <v>7</v>
      </c>
      <c r="G12" s="35">
        <v>1</v>
      </c>
      <c r="H12" s="36">
        <f t="shared" si="4"/>
        <v>5</v>
      </c>
      <c r="I12" s="48"/>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row>
    <row r="13" spans="1:65" s="33" customFormat="1" ht="17.399999999999999" x14ac:dyDescent="0.25">
      <c r="A13" s="90">
        <v>3</v>
      </c>
      <c r="B13" s="62" t="s">
        <v>136</v>
      </c>
      <c r="C13" s="33" t="s">
        <v>129</v>
      </c>
      <c r="D13" s="91">
        <v>44984</v>
      </c>
      <c r="E13" s="92">
        <f t="shared" si="5"/>
        <v>44990</v>
      </c>
      <c r="F13" s="34">
        <v>7</v>
      </c>
      <c r="G13" s="35">
        <v>0</v>
      </c>
      <c r="H13" s="36">
        <f t="shared" si="4"/>
        <v>5</v>
      </c>
      <c r="I13" s="48"/>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row>
    <row r="14" spans="1:65" s="33" customFormat="1" ht="22.2" customHeight="1" x14ac:dyDescent="0.25">
      <c r="A14" s="90">
        <v>4</v>
      </c>
      <c r="B14" s="62" t="s">
        <v>137</v>
      </c>
      <c r="C14" s="33" t="s">
        <v>130</v>
      </c>
      <c r="D14" s="91">
        <v>44984</v>
      </c>
      <c r="E14" s="92">
        <f t="shared" si="5"/>
        <v>44990</v>
      </c>
      <c r="F14" s="34">
        <v>7</v>
      </c>
      <c r="G14" s="35">
        <v>0</v>
      </c>
      <c r="H14" s="36">
        <f t="shared" si="4"/>
        <v>5</v>
      </c>
      <c r="I14" s="48"/>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row>
    <row r="15" spans="1:65" s="33" customFormat="1" ht="17.399999999999999" x14ac:dyDescent="0.25">
      <c r="A15" s="90">
        <v>5</v>
      </c>
      <c r="B15" s="61" t="s">
        <v>138</v>
      </c>
      <c r="C15" s="33" t="s">
        <v>129</v>
      </c>
      <c r="D15" s="91">
        <v>44991</v>
      </c>
      <c r="E15" s="92">
        <f t="shared" si="5"/>
        <v>44997</v>
      </c>
      <c r="F15" s="34">
        <v>7</v>
      </c>
      <c r="G15" s="35">
        <v>0</v>
      </c>
      <c r="H15" s="36">
        <f t="shared" si="4"/>
        <v>5</v>
      </c>
      <c r="I15" s="48"/>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row>
    <row r="16" spans="1:65" s="33" customFormat="1" ht="18" customHeight="1" x14ac:dyDescent="0.25">
      <c r="A16" s="90">
        <v>6</v>
      </c>
      <c r="B16" s="61" t="s">
        <v>140</v>
      </c>
      <c r="C16" s="33" t="s">
        <v>130</v>
      </c>
      <c r="D16" s="91">
        <v>44991</v>
      </c>
      <c r="E16" s="92">
        <f t="shared" si="5"/>
        <v>44997</v>
      </c>
      <c r="F16" s="34">
        <v>7</v>
      </c>
      <c r="G16" s="35">
        <v>0</v>
      </c>
      <c r="H16" s="36">
        <f t="shared" si="4"/>
        <v>5</v>
      </c>
      <c r="I16" s="48"/>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row>
    <row r="17" spans="1:65" s="33" customFormat="1" ht="17.399999999999999" x14ac:dyDescent="0.25">
      <c r="A17" s="90">
        <v>7</v>
      </c>
      <c r="B17" s="61" t="s">
        <v>139</v>
      </c>
      <c r="C17" s="33" t="s">
        <v>142</v>
      </c>
      <c r="D17" s="91">
        <v>44998</v>
      </c>
      <c r="E17" s="92">
        <f t="shared" si="5"/>
        <v>44998</v>
      </c>
      <c r="F17" s="34">
        <v>1</v>
      </c>
      <c r="G17" s="35">
        <v>0</v>
      </c>
      <c r="H17" s="36">
        <f t="shared" si="4"/>
        <v>1</v>
      </c>
      <c r="I17" s="48"/>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row>
  </sheetData>
  <sheetProtection formatCells="0" formatColumns="0" formatRows="0" insertRows="0" deleteRows="0"/>
  <mergeCells count="19">
    <mergeCell ref="AE4:AK4"/>
    <mergeCell ref="AE5:AK5"/>
    <mergeCell ref="BG4:BM4"/>
    <mergeCell ref="BG5:BM5"/>
    <mergeCell ref="AL5:AR5"/>
    <mergeCell ref="AS4:AY4"/>
    <mergeCell ref="AS5:AY5"/>
    <mergeCell ref="AL4:AR4"/>
    <mergeCell ref="AZ4:BF4"/>
    <mergeCell ref="AZ5:BF5"/>
    <mergeCell ref="J1:AD1"/>
    <mergeCell ref="C5:D5"/>
    <mergeCell ref="Q4:W4"/>
    <mergeCell ref="J4:P4"/>
    <mergeCell ref="C4:D4"/>
    <mergeCell ref="Q5:W5"/>
    <mergeCell ref="J5:P5"/>
    <mergeCell ref="X4:AD4"/>
    <mergeCell ref="X5:AD5"/>
  </mergeCells>
  <phoneticPr fontId="3" type="noConversion"/>
  <conditionalFormatting sqref="G8:G17">
    <cfRule type="dataBar" priority="2">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J6:BM7">
    <cfRule type="expression" dxfId="3" priority="45">
      <formula>J$6=TODAY()</formula>
    </cfRule>
  </conditionalFormatting>
  <conditionalFormatting sqref="J8:BM17">
    <cfRule type="expression" dxfId="2" priority="48">
      <formula>AND($D8&lt;=J$6,ROUNDDOWN(($E8-$D8+1)*$G8,0)+$D8-1&gt;=J$6)</formula>
    </cfRule>
    <cfRule type="expression" dxfId="1" priority="49">
      <formula>AND(NOT(ISBLANK($D8)),$D8&lt;=J$6,$E8&gt;=J$6)</formula>
    </cfRule>
  </conditionalFormatting>
  <conditionalFormatting sqref="J6:BM17">
    <cfRule type="expression" dxfId="0" priority="8">
      <formula>J$6=TODAY()</formula>
    </cfRule>
  </conditionalFormatting>
  <dataValidations count="1">
    <dataValidation allowBlank="1" showInputMessage="1" promptTitle="Display Week" prompt="Enter the week number to display first in the Gantt Chart. The weeks are numbered starting from the week containing the Project Start Date." sqref="G4" xr:uid="{00000000-0002-0000-0000-000000000000}"/>
  </dataValidations>
  <pageMargins left="0.25" right="0.25" top="0.5" bottom="0.5" header="0.5" footer="0.25"/>
  <pageSetup scale="50" fitToHeight="0" orientation="landscape" r:id="rId1"/>
  <headerFooter alignWithMargins="0"/>
  <ignoredErrors>
    <ignoredError sqref="F16"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8</xdr:col>
                    <xdr:colOff>99060</xdr:colOff>
                    <xdr:row>1</xdr:row>
                    <xdr:rowOff>121920</xdr:rowOff>
                  </from>
                  <to>
                    <xdr:col>26</xdr:col>
                    <xdr:colOff>106680</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G8:G17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46"/>
  <sheetViews>
    <sheetView showGridLines="0" workbookViewId="0">
      <selection activeCell="A2" sqref="A2"/>
    </sheetView>
  </sheetViews>
  <sheetFormatPr baseColWidth="10" defaultColWidth="8.88671875" defaultRowHeight="13.2" x14ac:dyDescent="0.25"/>
  <cols>
    <col min="1" max="1" width="5.5546875" customWidth="1"/>
    <col min="2" max="2" width="37.6640625" customWidth="1"/>
    <col min="3" max="3" width="55.109375" customWidth="1"/>
  </cols>
  <sheetData>
    <row r="1" spans="1:3" ht="30" customHeight="1" x14ac:dyDescent="0.25">
      <c r="A1" s="19" t="s">
        <v>20</v>
      </c>
    </row>
    <row r="4" spans="1:3" x14ac:dyDescent="0.25">
      <c r="C4" s="4" t="s">
        <v>28</v>
      </c>
    </row>
    <row r="5" spans="1:3" x14ac:dyDescent="0.25">
      <c r="C5" s="2" t="s">
        <v>29</v>
      </c>
    </row>
    <row r="6" spans="1:3" x14ac:dyDescent="0.25">
      <c r="C6" s="2"/>
    </row>
    <row r="7" spans="1:3" ht="17.399999999999999" x14ac:dyDescent="0.3">
      <c r="C7" s="13" t="s">
        <v>48</v>
      </c>
    </row>
    <row r="8" spans="1:3" x14ac:dyDescent="0.25">
      <c r="C8" s="14" t="s">
        <v>46</v>
      </c>
    </row>
    <row r="10" spans="1:3" x14ac:dyDescent="0.25">
      <c r="C10" s="2" t="s">
        <v>45</v>
      </c>
    </row>
    <row r="11" spans="1:3" x14ac:dyDescent="0.25">
      <c r="C11" s="2" t="s">
        <v>44</v>
      </c>
    </row>
    <row r="13" spans="1:3" ht="17.399999999999999" x14ac:dyDescent="0.3">
      <c r="C13" s="13" t="s">
        <v>43</v>
      </c>
    </row>
    <row r="16" spans="1:3" ht="15.6" x14ac:dyDescent="0.3">
      <c r="A16" s="16" t="s">
        <v>22</v>
      </c>
    </row>
    <row r="18" spans="2:2" ht="13.8" x14ac:dyDescent="0.25">
      <c r="B18" s="15" t="s">
        <v>33</v>
      </c>
    </row>
    <row r="19" spans="2:2" x14ac:dyDescent="0.25">
      <c r="B19" s="2" t="s">
        <v>38</v>
      </c>
    </row>
    <row r="20" spans="2:2" x14ac:dyDescent="0.25">
      <c r="B20" s="2" t="s">
        <v>39</v>
      </c>
    </row>
    <row r="22" spans="2:2" ht="13.8" x14ac:dyDescent="0.25">
      <c r="B22" s="15" t="s">
        <v>40</v>
      </c>
    </row>
    <row r="23" spans="2:2" x14ac:dyDescent="0.25">
      <c r="B23" s="2" t="s">
        <v>41</v>
      </c>
    </row>
    <row r="24" spans="2:2" x14ac:dyDescent="0.25">
      <c r="B24" s="2" t="s">
        <v>42</v>
      </c>
    </row>
    <row r="26" spans="2:2" ht="13.8" x14ac:dyDescent="0.25">
      <c r="B26" s="15" t="s">
        <v>30</v>
      </c>
    </row>
    <row r="27" spans="2:2" x14ac:dyDescent="0.25">
      <c r="B27" s="2" t="s">
        <v>34</v>
      </c>
    </row>
    <row r="28" spans="2:2" x14ac:dyDescent="0.25">
      <c r="B28" s="2" t="s">
        <v>35</v>
      </c>
    </row>
    <row r="29" spans="2:2" x14ac:dyDescent="0.25">
      <c r="B29" s="2" t="s">
        <v>36</v>
      </c>
    </row>
    <row r="30" spans="2:2" x14ac:dyDescent="0.25">
      <c r="B30" t="s">
        <v>23</v>
      </c>
    </row>
    <row r="31" spans="2:2" x14ac:dyDescent="0.25">
      <c r="B31" t="s">
        <v>24</v>
      </c>
    </row>
    <row r="32" spans="2:2" x14ac:dyDescent="0.25">
      <c r="B32" t="s">
        <v>25</v>
      </c>
    </row>
    <row r="34" spans="2:2" ht="13.8" x14ac:dyDescent="0.25">
      <c r="B34" s="15" t="s">
        <v>26</v>
      </c>
    </row>
    <row r="35" spans="2:2" x14ac:dyDescent="0.25">
      <c r="B35" s="2" t="s">
        <v>119</v>
      </c>
    </row>
    <row r="36" spans="2:2" x14ac:dyDescent="0.25">
      <c r="B36" s="2" t="s">
        <v>120</v>
      </c>
    </row>
    <row r="37" spans="2:2" x14ac:dyDescent="0.25">
      <c r="B37" s="2" t="s">
        <v>121</v>
      </c>
    </row>
    <row r="39" spans="2:2" ht="13.8" x14ac:dyDescent="0.25">
      <c r="B39" s="15" t="s">
        <v>27</v>
      </c>
    </row>
    <row r="40" spans="2:2" x14ac:dyDescent="0.25">
      <c r="B40" s="2" t="s">
        <v>37</v>
      </c>
    </row>
    <row r="42" spans="2:2" ht="13.8" x14ac:dyDescent="0.25">
      <c r="B42" s="15" t="s">
        <v>31</v>
      </c>
    </row>
    <row r="43" spans="2:2" x14ac:dyDescent="0.25">
      <c r="B43" s="2" t="s">
        <v>122</v>
      </c>
    </row>
    <row r="44" spans="2:2" x14ac:dyDescent="0.25">
      <c r="B44" s="2" t="s">
        <v>32</v>
      </c>
    </row>
    <row r="46" spans="2:2" ht="17.399999999999999" x14ac:dyDescent="0.3">
      <c r="B46" s="13" t="s">
        <v>21</v>
      </c>
    </row>
  </sheetData>
  <hyperlinks>
    <hyperlink ref="C7" r:id="rId1" xr:uid="{00000000-0004-0000-0100-000000000000}"/>
    <hyperlink ref="B46" r:id="rId2" tooltip="Go to Vertex42.com" display="https://www.vertex42.com/Links/go.php?urlid=GanttChartPro" xr:uid="{00000000-0004-0000-0100-000001000000}"/>
    <hyperlink ref="C13" r:id="rId3" display="https://www.vertex42.com/blog/business/pm/new-gantt-chart-for-excel-online.html" xr:uid="{00000000-0004-0000-0100-000002000000}"/>
  </hyperlinks>
  <pageMargins left="0.7" right="0.7" top="0.75" bottom="0.75" header="0.3" footer="0.3"/>
  <pageSetup scale="93" orientation="portrait" r:id="rId4"/>
  <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C94"/>
  <sheetViews>
    <sheetView showGridLines="0" workbookViewId="0">
      <selection activeCell="A3" sqref="A3"/>
    </sheetView>
  </sheetViews>
  <sheetFormatPr baseColWidth="10" defaultColWidth="8.88671875" defaultRowHeight="13.2" x14ac:dyDescent="0.25"/>
  <cols>
    <col min="1" max="1" width="5.5546875" style="2" customWidth="1"/>
    <col min="2" max="2" width="90.44140625" style="2" customWidth="1"/>
    <col min="3" max="3" width="16.44140625" style="2" bestFit="1" customWidth="1"/>
    <col min="4" max="16384" width="8.88671875" style="2"/>
  </cols>
  <sheetData>
    <row r="1" spans="1:3" ht="30" customHeight="1" x14ac:dyDescent="0.25">
      <c r="A1" s="23" t="s">
        <v>114</v>
      </c>
      <c r="B1" s="24"/>
    </row>
    <row r="2" spans="1:3" ht="13.8" x14ac:dyDescent="0.25">
      <c r="A2" s="70" t="s">
        <v>46</v>
      </c>
      <c r="B2" s="3"/>
    </row>
    <row r="3" spans="1:3" x14ac:dyDescent="0.25">
      <c r="B3" s="3"/>
    </row>
    <row r="4" spans="1:3" ht="17.399999999999999" x14ac:dyDescent="0.3">
      <c r="A4" s="65" t="s">
        <v>81</v>
      </c>
      <c r="B4" s="16"/>
    </row>
    <row r="5" spans="1:3" ht="55.2" x14ac:dyDescent="0.25">
      <c r="B5" s="71" t="s">
        <v>70</v>
      </c>
    </row>
    <row r="7" spans="1:3" ht="27.6" x14ac:dyDescent="0.25">
      <c r="B7" s="71" t="s">
        <v>82</v>
      </c>
    </row>
    <row r="9" spans="1:3" ht="13.8" x14ac:dyDescent="0.25">
      <c r="B9" s="70" t="s">
        <v>58</v>
      </c>
    </row>
    <row r="11" spans="1:3" ht="27.6" x14ac:dyDescent="0.25">
      <c r="B11" s="69" t="s">
        <v>59</v>
      </c>
    </row>
    <row r="13" spans="1:3" ht="17.399999999999999" x14ac:dyDescent="0.3">
      <c r="A13" s="102" t="s">
        <v>3</v>
      </c>
      <c r="B13" s="102"/>
    </row>
    <row r="15" spans="1:3" s="66" customFormat="1" ht="17.399999999999999" x14ac:dyDescent="0.25">
      <c r="A15" s="73"/>
      <c r="B15" s="72" t="s">
        <v>73</v>
      </c>
    </row>
    <row r="16" spans="1:3" s="66" customFormat="1" ht="17.399999999999999" x14ac:dyDescent="0.25">
      <c r="A16" s="73"/>
      <c r="B16" s="72" t="s">
        <v>71</v>
      </c>
      <c r="C16" s="68" t="s">
        <v>2</v>
      </c>
    </row>
    <row r="17" spans="1:3" ht="17.399999999999999" x14ac:dyDescent="0.3">
      <c r="A17" s="74"/>
      <c r="B17" s="72" t="s">
        <v>75</v>
      </c>
    </row>
    <row r="18" spans="1:3" ht="17.399999999999999" x14ac:dyDescent="0.3">
      <c r="A18" s="74"/>
      <c r="B18" s="72" t="s">
        <v>83</v>
      </c>
    </row>
    <row r="19" spans="1:3" ht="17.399999999999999" x14ac:dyDescent="0.3">
      <c r="A19" s="74"/>
      <c r="B19" s="72" t="s">
        <v>84</v>
      </c>
    </row>
    <row r="20" spans="1:3" s="66" customFormat="1" ht="17.399999999999999" x14ac:dyDescent="0.25">
      <c r="A20" s="73"/>
      <c r="B20" s="72" t="s">
        <v>72</v>
      </c>
      <c r="C20" s="67" t="s">
        <v>1</v>
      </c>
    </row>
    <row r="21" spans="1:3" ht="17.399999999999999" x14ac:dyDescent="0.3">
      <c r="A21" s="74"/>
      <c r="B21" s="72" t="s">
        <v>74</v>
      </c>
    </row>
    <row r="22" spans="1:3" ht="17.399999999999999" x14ac:dyDescent="0.3">
      <c r="A22" s="74"/>
      <c r="B22" s="75" t="s">
        <v>76</v>
      </c>
    </row>
    <row r="23" spans="1:3" ht="17.399999999999999" x14ac:dyDescent="0.3">
      <c r="A23" s="74"/>
      <c r="B23" s="4"/>
    </row>
    <row r="24" spans="1:3" ht="17.399999999999999" x14ac:dyDescent="0.3">
      <c r="A24" s="102" t="s">
        <v>77</v>
      </c>
      <c r="B24" s="102"/>
    </row>
    <row r="25" spans="1:3" ht="41.4" x14ac:dyDescent="0.3">
      <c r="A25" s="74"/>
      <c r="B25" s="72" t="s">
        <v>85</v>
      </c>
    </row>
    <row r="26" spans="1:3" ht="17.399999999999999" x14ac:dyDescent="0.3">
      <c r="A26" s="74"/>
      <c r="B26" s="72"/>
    </row>
    <row r="27" spans="1:3" ht="17.399999999999999" x14ac:dyDescent="0.3">
      <c r="A27" s="74"/>
      <c r="B27" s="89" t="s">
        <v>89</v>
      </c>
    </row>
    <row r="28" spans="1:3" ht="17.399999999999999" x14ac:dyDescent="0.3">
      <c r="A28" s="74"/>
      <c r="B28" s="72" t="s">
        <v>78</v>
      </c>
    </row>
    <row r="29" spans="1:3" ht="27.6" x14ac:dyDescent="0.3">
      <c r="A29" s="74"/>
      <c r="B29" s="72" t="s">
        <v>80</v>
      </c>
    </row>
    <row r="30" spans="1:3" ht="17.399999999999999" x14ac:dyDescent="0.3">
      <c r="A30" s="74"/>
      <c r="B30" s="72"/>
    </row>
    <row r="31" spans="1:3" ht="17.399999999999999" x14ac:dyDescent="0.3">
      <c r="A31" s="74"/>
      <c r="B31" s="89" t="s">
        <v>86</v>
      </c>
    </row>
    <row r="32" spans="1:3" ht="17.399999999999999" x14ac:dyDescent="0.3">
      <c r="A32" s="74"/>
      <c r="B32" s="72" t="s">
        <v>79</v>
      </c>
    </row>
    <row r="33" spans="1:2" ht="17.399999999999999" x14ac:dyDescent="0.3">
      <c r="A33" s="74"/>
      <c r="B33" s="72" t="s">
        <v>87</v>
      </c>
    </row>
    <row r="34" spans="1:2" ht="17.399999999999999" x14ac:dyDescent="0.3">
      <c r="A34" s="74"/>
      <c r="B34" s="4"/>
    </row>
    <row r="35" spans="1:2" ht="27.6" x14ac:dyDescent="0.3">
      <c r="A35" s="74"/>
      <c r="B35" s="72" t="s">
        <v>124</v>
      </c>
    </row>
    <row r="36" spans="1:2" ht="17.399999999999999" x14ac:dyDescent="0.3">
      <c r="A36" s="74"/>
      <c r="B36" s="76" t="s">
        <v>88</v>
      </c>
    </row>
    <row r="37" spans="1:2" ht="17.399999999999999" x14ac:dyDescent="0.3">
      <c r="A37" s="74"/>
      <c r="B37" s="4"/>
    </row>
    <row r="38" spans="1:2" ht="17.399999999999999" x14ac:dyDescent="0.3">
      <c r="A38" s="102" t="s">
        <v>8</v>
      </c>
      <c r="B38" s="102"/>
    </row>
    <row r="39" spans="1:2" ht="27.6" x14ac:dyDescent="0.25">
      <c r="B39" s="72" t="s">
        <v>91</v>
      </c>
    </row>
    <row r="41" spans="1:2" ht="13.8" x14ac:dyDescent="0.25">
      <c r="B41" s="72" t="s">
        <v>92</v>
      </c>
    </row>
    <row r="43" spans="1:2" ht="27.6" x14ac:dyDescent="0.25">
      <c r="B43" s="72" t="s">
        <v>90</v>
      </c>
    </row>
    <row r="45" spans="1:2" ht="27.6" x14ac:dyDescent="0.25">
      <c r="B45" s="72" t="s">
        <v>93</v>
      </c>
    </row>
    <row r="46" spans="1:2" x14ac:dyDescent="0.25">
      <c r="B46" s="11"/>
    </row>
    <row r="47" spans="1:2" ht="27.6" x14ac:dyDescent="0.25">
      <c r="B47" s="72" t="s">
        <v>94</v>
      </c>
    </row>
    <row r="49" spans="1:2" ht="17.399999999999999" x14ac:dyDescent="0.3">
      <c r="A49" s="102" t="s">
        <v>6</v>
      </c>
      <c r="B49" s="102"/>
    </row>
    <row r="50" spans="1:2" ht="27.6" x14ac:dyDescent="0.25">
      <c r="B50" s="72" t="s">
        <v>125</v>
      </c>
    </row>
    <row r="52" spans="1:2" ht="13.8" x14ac:dyDescent="0.25">
      <c r="A52" s="77" t="s">
        <v>9</v>
      </c>
      <c r="B52" s="72" t="s">
        <v>10</v>
      </c>
    </row>
    <row r="53" spans="1:2" ht="13.8" x14ac:dyDescent="0.25">
      <c r="A53" s="77" t="s">
        <v>11</v>
      </c>
      <c r="B53" s="72" t="s">
        <v>12</v>
      </c>
    </row>
    <row r="54" spans="1:2" ht="13.8" x14ac:dyDescent="0.25">
      <c r="A54" s="77" t="s">
        <v>13</v>
      </c>
      <c r="B54" s="72" t="s">
        <v>14</v>
      </c>
    </row>
    <row r="55" spans="1:2" ht="28.2" x14ac:dyDescent="0.25">
      <c r="A55" s="69"/>
      <c r="B55" s="72" t="s">
        <v>95</v>
      </c>
    </row>
    <row r="56" spans="1:2" ht="28.2" x14ac:dyDescent="0.25">
      <c r="A56" s="69"/>
      <c r="B56" s="72" t="s">
        <v>96</v>
      </c>
    </row>
    <row r="57" spans="1:2" ht="13.8" x14ac:dyDescent="0.25">
      <c r="A57" s="77" t="s">
        <v>15</v>
      </c>
      <c r="B57" s="72" t="s">
        <v>16</v>
      </c>
    </row>
    <row r="58" spans="1:2" ht="14.4" x14ac:dyDescent="0.25">
      <c r="A58" s="69"/>
      <c r="B58" s="72" t="s">
        <v>97</v>
      </c>
    </row>
    <row r="59" spans="1:2" ht="14.4" x14ac:dyDescent="0.25">
      <c r="A59" s="69"/>
      <c r="B59" s="72" t="s">
        <v>98</v>
      </c>
    </row>
    <row r="60" spans="1:2" ht="13.8" x14ac:dyDescent="0.25">
      <c r="A60" s="77" t="s">
        <v>17</v>
      </c>
      <c r="B60" s="72" t="s">
        <v>18</v>
      </c>
    </row>
    <row r="61" spans="1:2" ht="28.2" x14ac:dyDescent="0.25">
      <c r="A61" s="69"/>
      <c r="B61" s="72" t="s">
        <v>99</v>
      </c>
    </row>
    <row r="62" spans="1:2" ht="13.8" x14ac:dyDescent="0.25">
      <c r="A62" s="77" t="s">
        <v>100</v>
      </c>
      <c r="B62" s="72" t="s">
        <v>101</v>
      </c>
    </row>
    <row r="63" spans="1:2" ht="13.8" x14ac:dyDescent="0.25">
      <c r="A63" s="78"/>
      <c r="B63" s="72" t="s">
        <v>102</v>
      </c>
    </row>
    <row r="64" spans="1:2" x14ac:dyDescent="0.25">
      <c r="B64" s="5"/>
    </row>
    <row r="65" spans="1:2" ht="17.399999999999999" x14ac:dyDescent="0.3">
      <c r="A65" s="102" t="s">
        <v>7</v>
      </c>
      <c r="B65" s="102"/>
    </row>
    <row r="66" spans="1:2" ht="41.4" x14ac:dyDescent="0.25">
      <c r="B66" s="72" t="s">
        <v>103</v>
      </c>
    </row>
    <row r="68" spans="1:2" ht="17.399999999999999" x14ac:dyDescent="0.3">
      <c r="A68" s="102" t="s">
        <v>4</v>
      </c>
      <c r="B68" s="102"/>
    </row>
    <row r="69" spans="1:2" ht="13.8" x14ac:dyDescent="0.25">
      <c r="A69" s="84" t="s">
        <v>5</v>
      </c>
      <c r="B69" s="85" t="s">
        <v>104</v>
      </c>
    </row>
    <row r="70" spans="1:2" ht="27.6" x14ac:dyDescent="0.25">
      <c r="A70" s="78"/>
      <c r="B70" s="83" t="s">
        <v>106</v>
      </c>
    </row>
    <row r="71" spans="1:2" ht="13.8" x14ac:dyDescent="0.25">
      <c r="A71" s="78"/>
      <c r="B71" s="79"/>
    </row>
    <row r="72" spans="1:2" ht="13.8" x14ac:dyDescent="0.25">
      <c r="A72" s="84" t="s">
        <v>5</v>
      </c>
      <c r="B72" s="85" t="s">
        <v>123</v>
      </c>
    </row>
    <row r="73" spans="1:2" ht="28.2" x14ac:dyDescent="0.25">
      <c r="A73" s="78"/>
      <c r="B73" s="83" t="s">
        <v>127</v>
      </c>
    </row>
    <row r="74" spans="1:2" ht="13.8" x14ac:dyDescent="0.25">
      <c r="A74" s="78"/>
      <c r="B74" s="79"/>
    </row>
    <row r="75" spans="1:2" ht="13.8" x14ac:dyDescent="0.25">
      <c r="A75" s="84" t="s">
        <v>5</v>
      </c>
      <c r="B75" s="87" t="s">
        <v>109</v>
      </c>
    </row>
    <row r="76" spans="1:2" ht="41.4" x14ac:dyDescent="0.25">
      <c r="A76" s="78"/>
      <c r="B76" s="71" t="s">
        <v>126</v>
      </c>
    </row>
    <row r="77" spans="1:2" ht="13.8" x14ac:dyDescent="0.25">
      <c r="A77" s="78"/>
      <c r="B77" s="78"/>
    </row>
    <row r="78" spans="1:2" ht="13.8" x14ac:dyDescent="0.25">
      <c r="A78" s="84" t="s">
        <v>5</v>
      </c>
      <c r="B78" s="87" t="s">
        <v>115</v>
      </c>
    </row>
    <row r="79" spans="1:2" ht="27.6" x14ac:dyDescent="0.25">
      <c r="A79" s="78"/>
      <c r="B79" s="71" t="s">
        <v>110</v>
      </c>
    </row>
    <row r="80" spans="1:2" ht="13.8" x14ac:dyDescent="0.25">
      <c r="A80" s="78"/>
      <c r="B80" s="78"/>
    </row>
    <row r="81" spans="1:2" ht="13.8" x14ac:dyDescent="0.25">
      <c r="A81" s="84" t="s">
        <v>5</v>
      </c>
      <c r="B81" s="87" t="s">
        <v>116</v>
      </c>
    </row>
    <row r="82" spans="1:2" ht="14.4" x14ac:dyDescent="0.3">
      <c r="A82" s="78"/>
      <c r="B82" s="82" t="s">
        <v>111</v>
      </c>
    </row>
    <row r="83" spans="1:2" ht="14.4" x14ac:dyDescent="0.3">
      <c r="A83" s="78"/>
      <c r="B83" s="82" t="s">
        <v>112</v>
      </c>
    </row>
    <row r="84" spans="1:2" ht="14.4" x14ac:dyDescent="0.3">
      <c r="A84" s="78"/>
      <c r="B84" s="82" t="s">
        <v>113</v>
      </c>
    </row>
    <row r="85" spans="1:2" ht="13.8" x14ac:dyDescent="0.25">
      <c r="A85" s="78"/>
      <c r="B85" s="81"/>
    </row>
    <row r="86" spans="1:2" ht="13.8" x14ac:dyDescent="0.25">
      <c r="A86" s="84" t="s">
        <v>5</v>
      </c>
      <c r="B86" s="87" t="s">
        <v>117</v>
      </c>
    </row>
    <row r="87" spans="1:2" ht="41.4" x14ac:dyDescent="0.25">
      <c r="A87" s="78"/>
      <c r="B87" s="71" t="s">
        <v>105</v>
      </c>
    </row>
    <row r="88" spans="1:2" ht="14.4" x14ac:dyDescent="0.3">
      <c r="A88" s="78"/>
      <c r="B88" s="80" t="s">
        <v>107</v>
      </c>
    </row>
    <row r="89" spans="1:2" ht="41.4" x14ac:dyDescent="0.25">
      <c r="A89" s="78"/>
      <c r="B89" s="86" t="s">
        <v>108</v>
      </c>
    </row>
    <row r="90" spans="1:2" ht="13.8" x14ac:dyDescent="0.25">
      <c r="A90" s="78"/>
      <c r="B90" s="78"/>
    </row>
    <row r="91" spans="1:2" ht="13.8" x14ac:dyDescent="0.25">
      <c r="A91" s="84" t="s">
        <v>5</v>
      </c>
      <c r="B91" s="87" t="s">
        <v>118</v>
      </c>
    </row>
    <row r="92" spans="1:2" ht="27.6" x14ac:dyDescent="0.25">
      <c r="A92" s="69"/>
      <c r="B92" s="82" t="s">
        <v>19</v>
      </c>
    </row>
    <row r="94" spans="1:2" x14ac:dyDescent="0.25">
      <c r="A94" s="17" t="s">
        <v>51</v>
      </c>
    </row>
  </sheetData>
  <mergeCells count="6">
    <mergeCell ref="A38:B38"/>
    <mergeCell ref="A49:B49"/>
    <mergeCell ref="A68:B68"/>
    <mergeCell ref="A13:B13"/>
    <mergeCell ref="A65:B65"/>
    <mergeCell ref="A24:B24"/>
  </mergeCells>
  <phoneticPr fontId="3" type="noConversion"/>
  <hyperlinks>
    <hyperlink ref="B9" r:id="rId1" xr:uid="{00000000-0004-0000-0200-000000000000}"/>
    <hyperlink ref="A2" r:id="rId2" xr:uid="{00000000-0004-0000-0200-000001000000}"/>
    <hyperlink ref="B36" r:id="rId3" xr:uid="{00000000-0004-0000-0200-000002000000}"/>
  </hyperlinks>
  <pageMargins left="0.5" right="0.5" top="0.25" bottom="0.25" header="0.5" footer="0.5"/>
  <pageSetup orientation="portrait" r:id="rId4"/>
  <headerFooter alignWithMargins="0"/>
  <drawing r:id="rId5"/>
  <legacy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9"/>
  <sheetViews>
    <sheetView showGridLines="0" workbookViewId="0">
      <selection activeCell="A2" sqref="A2"/>
    </sheetView>
  </sheetViews>
  <sheetFormatPr baseColWidth="10" defaultColWidth="8.88671875" defaultRowHeight="13.2" x14ac:dyDescent="0.25"/>
  <cols>
    <col min="1" max="1" width="5.5546875" style="2" customWidth="1"/>
    <col min="2" max="2" width="82.109375" style="2" customWidth="1"/>
  </cols>
  <sheetData>
    <row r="1" spans="1:3" ht="30" customHeight="1" x14ac:dyDescent="0.25">
      <c r="A1" s="23" t="s">
        <v>49</v>
      </c>
      <c r="B1" s="23"/>
    </row>
    <row r="2" spans="1:3" ht="15" x14ac:dyDescent="0.25">
      <c r="B2" s="27"/>
    </row>
    <row r="3" spans="1:3" ht="15" x14ac:dyDescent="0.25">
      <c r="A3" s="25"/>
      <c r="B3" s="20" t="s">
        <v>50</v>
      </c>
      <c r="C3" s="26"/>
    </row>
    <row r="4" spans="1:3" ht="13.8" x14ac:dyDescent="0.25">
      <c r="A4" s="6"/>
      <c r="B4" s="22" t="s">
        <v>46</v>
      </c>
      <c r="C4" s="7"/>
    </row>
    <row r="5" spans="1:3" ht="15" x14ac:dyDescent="0.25">
      <c r="A5" s="6"/>
      <c r="B5" s="8"/>
      <c r="C5" s="7"/>
    </row>
    <row r="6" spans="1:3" ht="15.6" x14ac:dyDescent="0.3">
      <c r="A6" s="6"/>
      <c r="B6" s="9" t="s">
        <v>51</v>
      </c>
      <c r="C6" s="7"/>
    </row>
    <row r="7" spans="1:3" ht="15" x14ac:dyDescent="0.25">
      <c r="A7" s="6"/>
      <c r="B7" s="8"/>
      <c r="C7" s="7"/>
    </row>
    <row r="8" spans="1:3" ht="30" x14ac:dyDescent="0.25">
      <c r="A8" s="6"/>
      <c r="B8" s="8" t="s">
        <v>52</v>
      </c>
      <c r="C8" s="7"/>
    </row>
    <row r="9" spans="1:3" ht="15" x14ac:dyDescent="0.25">
      <c r="A9" s="6"/>
      <c r="B9" s="8"/>
      <c r="C9" s="7"/>
    </row>
    <row r="10" spans="1:3" ht="46.2" x14ac:dyDescent="0.3">
      <c r="A10" s="6"/>
      <c r="B10" s="8" t="s">
        <v>53</v>
      </c>
      <c r="C10" s="7"/>
    </row>
    <row r="11" spans="1:3" ht="15" x14ac:dyDescent="0.25">
      <c r="A11" s="6"/>
      <c r="B11" s="8"/>
      <c r="C11" s="7"/>
    </row>
    <row r="12" spans="1:3" ht="45" x14ac:dyDescent="0.25">
      <c r="A12" s="6"/>
      <c r="B12" s="8" t="s">
        <v>54</v>
      </c>
      <c r="C12" s="7"/>
    </row>
    <row r="13" spans="1:3" ht="15" x14ac:dyDescent="0.25">
      <c r="A13" s="6"/>
      <c r="B13" s="8"/>
      <c r="C13" s="7"/>
    </row>
    <row r="14" spans="1:3" ht="60" x14ac:dyDescent="0.25">
      <c r="A14" s="6"/>
      <c r="B14" s="8" t="s">
        <v>55</v>
      </c>
      <c r="C14" s="7"/>
    </row>
    <row r="15" spans="1:3" ht="15" x14ac:dyDescent="0.25">
      <c r="A15" s="6"/>
      <c r="B15" s="8"/>
      <c r="C15" s="7"/>
    </row>
    <row r="16" spans="1:3" ht="30.6" x14ac:dyDescent="0.25">
      <c r="A16" s="6"/>
      <c r="B16" s="8" t="s">
        <v>56</v>
      </c>
      <c r="C16" s="7"/>
    </row>
    <row r="17" spans="1:3" ht="15" x14ac:dyDescent="0.25">
      <c r="A17" s="6"/>
      <c r="B17" s="8"/>
      <c r="C17" s="7"/>
    </row>
    <row r="18" spans="1:3" ht="15.6" x14ac:dyDescent="0.3">
      <c r="A18" s="6"/>
      <c r="B18" s="9" t="s">
        <v>57</v>
      </c>
      <c r="C18" s="7"/>
    </row>
    <row r="19" spans="1:3" ht="15" x14ac:dyDescent="0.25">
      <c r="A19" s="6"/>
      <c r="B19" s="21" t="s">
        <v>47</v>
      </c>
      <c r="C19" s="7"/>
    </row>
    <row r="20" spans="1:3" ht="15" x14ac:dyDescent="0.25">
      <c r="A20" s="6"/>
      <c r="B20" s="10"/>
      <c r="C20" s="7"/>
    </row>
    <row r="21" spans="1:3" x14ac:dyDescent="0.25">
      <c r="A21" s="6"/>
      <c r="B21" s="6"/>
      <c r="C21" s="7"/>
    </row>
    <row r="22" spans="1:3" x14ac:dyDescent="0.25">
      <c r="A22" s="6"/>
      <c r="B22" s="6"/>
      <c r="C22" s="7"/>
    </row>
    <row r="23" spans="1:3" x14ac:dyDescent="0.25">
      <c r="A23" s="6"/>
      <c r="B23" s="6"/>
      <c r="C23" s="7"/>
    </row>
    <row r="24" spans="1:3" x14ac:dyDescent="0.25">
      <c r="A24" s="6"/>
      <c r="B24" s="6"/>
      <c r="C24" s="7"/>
    </row>
    <row r="25" spans="1:3" x14ac:dyDescent="0.25">
      <c r="A25" s="6"/>
      <c r="B25" s="6"/>
      <c r="C25" s="7"/>
    </row>
    <row r="26" spans="1:3" x14ac:dyDescent="0.25">
      <c r="A26" s="6"/>
      <c r="B26" s="6"/>
      <c r="C26" s="7"/>
    </row>
    <row r="27" spans="1:3" x14ac:dyDescent="0.25">
      <c r="A27" s="6"/>
      <c r="B27" s="6"/>
      <c r="C27" s="7"/>
    </row>
    <row r="28" spans="1:3" x14ac:dyDescent="0.25">
      <c r="A28" s="6"/>
      <c r="B28" s="6"/>
      <c r="C28" s="7"/>
    </row>
    <row r="29" spans="1:3" x14ac:dyDescent="0.25">
      <c r="A29" s="6"/>
      <c r="B29" s="6"/>
      <c r="C29" s="7"/>
    </row>
  </sheetData>
  <hyperlinks>
    <hyperlink ref="B4" r:id="rId1" xr:uid="{00000000-0004-0000-0300-000000000000}"/>
    <hyperlink ref="B19" r:id="rId2" xr:uid="{00000000-0004-0000-0300-000001000000}"/>
  </hyperlinks>
  <pageMargins left="0.7" right="0.7" top="0.75" bottom="0.75" header="0.3" footer="0.3"/>
  <pageSetup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4</vt:i4>
      </vt:variant>
    </vt:vector>
  </HeadingPairs>
  <TitlesOfParts>
    <vt:vector size="8" baseType="lpstr">
      <vt:lpstr>GanttChart</vt:lpstr>
      <vt:lpstr>GanttChartPro</vt:lpstr>
      <vt:lpstr>Help</vt:lpstr>
      <vt:lpstr>TermsOfUse</vt:lpstr>
      <vt:lpstr>GanttChart!Impression_des_titres</vt:lpstr>
      <vt:lpstr>GanttChart!prevWBS</vt:lpstr>
      <vt:lpstr>GanttChart!Zone_d_impression</vt:lpstr>
      <vt:lpstr>GanttChartPro!Zone_d_impression</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2006-2018 Vertex42 LLC. All Rights Reserved.</dc:description>
  <cp:lastModifiedBy>waesz waesz</cp:lastModifiedBy>
  <cp:lastPrinted>2023-03-05T22:57:18Z</cp:lastPrinted>
  <dcterms:created xsi:type="dcterms:W3CDTF">2010-06-09T16:05:03Z</dcterms:created>
  <dcterms:modified xsi:type="dcterms:W3CDTF">2023-03-05T22:57:23Z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ies>
</file>